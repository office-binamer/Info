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d_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Activation" sheetId="5" state="visible" r:id="rId5"/>
    <sheet xmlns:r="http://schemas.openxmlformats.org/officeDocument/2006/relationships" name="Sources_Uses" sheetId="6" state="visible" r:id="rId6"/>
    <sheet xmlns:r="http://schemas.openxmlformats.org/officeDocument/2006/relationships" name="Debt_Restructure" sheetId="7" state="visible" r:id="rId7"/>
    <sheet xmlns:r="http://schemas.openxmlformats.org/officeDocument/2006/relationships" name="Revenue" sheetId="8" state="visible" r:id="rId8"/>
    <sheet xmlns:r="http://schemas.openxmlformats.org/officeDocument/2006/relationships" name="OpEx_Fees" sheetId="9" state="visible" r:id="rId9"/>
    <sheet xmlns:r="http://schemas.openxmlformats.org/officeDocument/2006/relationships" name="Fund_CF" sheetId="10" state="visible" r:id="rId10"/>
    <sheet xmlns:r="http://schemas.openxmlformats.org/officeDocument/2006/relationships" name="NAV_Trajectory" sheetId="11" state="visible" r:id="rId11"/>
    <sheet xmlns:r="http://schemas.openxmlformats.org/officeDocument/2006/relationships" name="Waterfall" sheetId="12" state="visible" r:id="rId12"/>
    <sheet xmlns:r="http://schemas.openxmlformats.org/officeDocument/2006/relationships" name="LP_Returns" sheetId="13" state="visible" r:id="rId13"/>
    <sheet xmlns:r="http://schemas.openxmlformats.org/officeDocument/2006/relationships" name="GP_Economics" sheetId="14" state="visible" r:id="rId14"/>
    <sheet xmlns:r="http://schemas.openxmlformats.org/officeDocument/2006/relationships" name="Stress_Tests" sheetId="15" state="visible" r:id="rId15"/>
    <sheet xmlns:r="http://schemas.openxmlformats.org/officeDocument/2006/relationships" name="Sensitivity" sheetId="16" state="visible" r:id="rId16"/>
    <sheet xmlns:r="http://schemas.openxmlformats.org/officeDocument/2006/relationships" name="Risk_Disclosure" sheetId="17" state="visible" r:id="rId17"/>
    <sheet xmlns:r="http://schemas.openxmlformats.org/officeDocument/2006/relationships" name="IC_Memo" sheetId="18" state="visible" r:id="rId18"/>
    <sheet xmlns:r="http://schemas.openxmlformats.org/officeDocument/2006/relationships" name="Audit" sheetId="19" state="visible" r:id="rId19"/>
  </sheets>
  <definedNames/>
  <calcPr calcId="124519" calcMode="auto" fullCalcOnLoad="1" calcCompleted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x&quot;"/>
    <numFmt numFmtId="166" formatCode="0.000%"/>
    <numFmt numFmtId="167" formatCode="#,##0.0"/>
  </numFmts>
  <fonts count="16">
    <font>
      <name val="Calibri"/>
      <family val="2"/>
      <color theme="1"/>
      <sz val="11"/>
      <scheme val="minor"/>
    </font>
    <font>
      <b val="1"/>
      <sz val="16"/>
    </font>
    <font>
      <b val="1"/>
      <color rgb="001E293B"/>
      <sz val="12"/>
    </font>
    <font>
      <b val="1"/>
    </font>
    <font>
      <b val="1"/>
      <color rgb="000F172A"/>
      <sz val="11"/>
    </font>
    <font>
      <b val="1"/>
      <color rgb="000F172A"/>
      <sz val="14"/>
    </font>
    <font>
      <color rgb="001D4ED8"/>
    </font>
    <font>
      <color rgb="006B7280"/>
    </font>
    <font>
      <color rgb="00047857"/>
    </font>
    <font>
      <b val="1"/>
      <color rgb="00FFFFFF"/>
      <sz val="11"/>
    </font>
    <font>
      <i val="1"/>
      <color rgb="006B7280"/>
    </font>
    <font>
      <b val="1"/>
      <color rgb="00047857"/>
    </font>
    <font>
      <b val="1"/>
      <color rgb="00B91C1C"/>
    </font>
    <font>
      <i val="1"/>
    </font>
    <font>
      <b val="1"/>
      <sz val="14"/>
    </font>
    <font>
      <b val="1"/>
      <color rgb="00047857"/>
      <sz val="12"/>
    </font>
  </fonts>
  <fills count="8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12" fillId="0" borderId="0" pivotButton="0" quotePrefix="0" xfId="0"/>
    <xf numFmtId="0" fontId="5" fillId="0" borderId="0" pivotButton="0" quotePrefix="0" xfId="0"/>
    <xf numFmtId="1" fontId="6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" fontId="8" fillId="0" borderId="0" pivotButton="0" quotePrefix="0" xfId="0"/>
    <xf numFmtId="3" fontId="6" fillId="3" borderId="0" pivotButton="0" quotePrefix="0" xfId="0"/>
    <xf numFmtId="10" fontId="6" fillId="3" borderId="0" pivotButton="0" quotePrefix="0" xfId="0"/>
    <xf numFmtId="3" fontId="8" fillId="0" borderId="0" pivotButton="0" quotePrefix="0" xfId="0"/>
    <xf numFmtId="164" fontId="8" fillId="0" borderId="0" pivotButton="0" quotePrefix="0" xfId="0"/>
    <xf numFmtId="164" fontId="6" fillId="3" borderId="0" pivotButton="0" quotePrefix="0" xfId="0"/>
    <xf numFmtId="166" fontId="6" fillId="3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3" fillId="5" borderId="0" applyAlignment="1" pivotButton="0" quotePrefix="0" xfId="0">
      <alignment horizontal="center" vertical="center" wrapText="1"/>
    </xf>
    <xf numFmtId="3" fontId="3" fillId="5" borderId="0" pivotButton="0" quotePrefix="0" xfId="0"/>
    <xf numFmtId="10" fontId="3" fillId="5" borderId="0" pivotButton="0" quotePrefix="0" xfId="0"/>
    <xf numFmtId="0" fontId="9" fillId="4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" fontId="11" fillId="0" borderId="0" pivotButton="0" quotePrefix="0" xfId="0"/>
    <xf numFmtId="3" fontId="12" fillId="0" borderId="0" pivotButton="0" quotePrefix="0" xfId="0"/>
    <xf numFmtId="164" fontId="9" fillId="4" borderId="0" applyAlignment="1" pivotButton="0" quotePrefix="0" xfId="0">
      <alignment horizontal="center" vertical="center" wrapText="1"/>
    </xf>
    <xf numFmtId="0" fontId="3" fillId="6" borderId="0" pivotButton="0" quotePrefix="0" xfId="0"/>
    <xf numFmtId="3" fontId="3" fillId="6" borderId="0" pivotButton="0" quotePrefix="0" xfId="0"/>
    <xf numFmtId="0" fontId="13" fillId="0" borderId="0" pivotButton="0" quotePrefix="0" xfId="0"/>
    <xf numFmtId="164" fontId="13" fillId="0" borderId="0" applyAlignment="1" pivotButton="0" quotePrefix="0" xfId="0">
      <alignment horizontal="center" vertical="center" wrapText="1"/>
    </xf>
    <xf numFmtId="3" fontId="12" fillId="5" borderId="0" pivotButton="0" quotePrefix="0" xfId="0"/>
    <xf numFmtId="3" fontId="13" fillId="0" borderId="0" pivotButton="0" quotePrefix="0" xfId="0"/>
    <xf numFmtId="165" fontId="3" fillId="5" borderId="0" pivotButton="0" quotePrefix="0" xfId="0"/>
    <xf numFmtId="167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 vertical="center" wrapText="1"/>
    </xf>
    <xf numFmtId="164" fontId="3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5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6" fillId="3" borderId="0" pivotButton="0" quotePrefix="0" xfId="0"/>
    <xf numFmtId="165" fontId="3" fillId="5" borderId="0" pivotButton="0" quotePrefix="0" xfId="0"/>
    <xf numFmtId="165" fontId="0" fillId="0" borderId="0" applyAlignment="1" pivotButton="0" quotePrefix="0" xfId="0">
      <alignment horizontal="center" vertical="center" wrapText="1"/>
    </xf>
    <xf numFmtId="3" fontId="11" fillId="5" borderId="0" pivotButton="0" quotePrefix="0" xfId="0"/>
    <xf numFmtId="3" fontId="10" fillId="0" borderId="0" pivotButton="0" quotePrefix="0" xfId="0"/>
  </cellXfs>
  <cellStyles count="1">
    <cellStyle name="Normal" xfId="0" builtinId="0" hidden="0"/>
  </cellStyles>
  <dxfs count="5">
    <dxf>
      <font>
        <b val="1"/>
        <color rgb="00047857"/>
      </font>
      <fill>
        <patternFill patternType="solid">
          <fgColor rgb="00D1FAE5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4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BIN AMER REAL ESTATE FUND — Investment Model v6.0</t>
        </is>
      </c>
    </row>
    <row r="3">
      <c r="B3" s="2" t="inlineStr">
        <is>
          <t>صندوق بن عامر العقاري الخاص — نموذج استثمار 6.0</t>
        </is>
      </c>
    </row>
    <row r="5">
      <c r="B5" s="3" t="inlineStr">
        <is>
          <t>Document type</t>
        </is>
      </c>
      <c r="C5" t="inlineStr">
        <is>
          <t>Saudi Private RE Fund — Financial Model (Information Memorandum support)</t>
        </is>
      </c>
    </row>
    <row r="6">
      <c r="B6" s="3" t="inlineStr">
        <is>
          <t>Sponsor</t>
        </is>
      </c>
      <c r="C6" t="inlineStr">
        <is>
          <t>Bin Amer Holding (مجموعة بن عامر القابضة)</t>
        </is>
      </c>
    </row>
    <row r="7">
      <c r="B7" s="3" t="inlineStr">
        <is>
          <t>Vehicle</t>
        </is>
      </c>
      <c r="C7" t="inlineStr">
        <is>
          <t>Saudi closed-end Private Real Estate Fund — CMA-licensed</t>
        </is>
      </c>
    </row>
    <row r="8">
      <c r="B8" s="3" t="inlineStr">
        <is>
          <t>Currency</t>
        </is>
      </c>
      <c r="C8" t="inlineStr">
        <is>
          <t>SAR</t>
        </is>
      </c>
    </row>
    <row r="9">
      <c r="B9" s="3" t="inlineStr">
        <is>
          <t>Fund life</t>
        </is>
      </c>
      <c r="C9" t="inlineStr">
        <is>
          <t>5 years (extendable by 1 year with LP consent)</t>
        </is>
      </c>
    </row>
    <row r="10">
      <c r="B10" s="3" t="inlineStr">
        <is>
          <t>Status</t>
        </is>
      </c>
      <c r="C10" t="inlineStr">
        <is>
          <t>Pre-launch — for qualified-investor discussion only</t>
        </is>
      </c>
    </row>
    <row r="13">
      <c r="B13" s="4" t="inlineStr">
        <is>
          <t>KEY FACTS (from Information Memorandum)</t>
        </is>
      </c>
    </row>
    <row r="14">
      <c r="B14" s="3" t="inlineStr">
        <is>
          <t>Total portfolio (book)</t>
        </is>
      </c>
      <c r="C14" s="5" t="inlineStr">
        <is>
          <t>SAR 242.4M (29 properties)</t>
        </is>
      </c>
    </row>
    <row r="15">
      <c r="B15" s="3" t="inlineStr">
        <is>
          <t>Current annual rental</t>
        </is>
      </c>
      <c r="C15" s="5" t="inlineStr">
        <is>
          <t>SAR 9.82M (gross yield 4.05%)</t>
        </is>
      </c>
    </row>
    <row r="16">
      <c r="B16" s="3" t="inlineStr">
        <is>
          <t>Mortgaged properties</t>
        </is>
      </c>
      <c r="C16" s="5" t="inlineStr">
        <is>
          <t>12 of 29 (SAR 117.3M book) securing &gt;SAR 100M debt</t>
        </is>
      </c>
    </row>
    <row r="17">
      <c r="B17" s="3" t="inlineStr">
        <is>
          <t>Unmortgaged properties</t>
        </is>
      </c>
      <c r="C17" s="5" t="inlineStr">
        <is>
          <t>11 of 29 (SAR 99.6M book)</t>
        </is>
      </c>
    </row>
    <row r="18">
      <c r="B18" s="3" t="inlineStr">
        <is>
          <t>Idle / inactive properties</t>
        </is>
      </c>
      <c r="C18" s="5" t="inlineStr">
        <is>
          <t>11 of 29 (38%)</t>
        </is>
      </c>
    </row>
    <row r="19">
      <c r="B19" s="3" t="inlineStr">
        <is>
          <t>Geographic concentration</t>
        </is>
      </c>
      <c r="C19" s="5" t="inlineStr">
        <is>
          <t>Mecca &gt;60%, Jeddah, Riyadh, Dammam, Taif</t>
        </is>
      </c>
    </row>
    <row r="20">
      <c r="B20" s="3" t="inlineStr">
        <is>
          <t>Largest by value</t>
        </is>
      </c>
      <c r="C20" s="5" t="inlineStr">
        <is>
          <t>Al-Misfalah lands, Mecca (SAR 60.3M, mortgaged)</t>
        </is>
      </c>
    </row>
    <row r="21">
      <c r="B21" s="3" t="inlineStr">
        <is>
          <t>Largest by income</t>
        </is>
      </c>
      <c r="C21" s="5" t="inlineStr">
        <is>
          <t>Al-Hafayer Hotel, Mecca (SAR 4M/yr = 41% of income)</t>
        </is>
      </c>
    </row>
    <row r="22">
      <c r="B22" s="3" t="inlineStr">
        <is>
          <t>Vacant land</t>
        </is>
      </c>
      <c r="C22" s="5" t="inlineStr">
        <is>
          <t>9 properties / SAR 118.3M / zero income</t>
        </is>
      </c>
    </row>
    <row r="23">
      <c r="B23" s="3" t="inlineStr">
        <is>
          <t>Fund target NAV at close</t>
        </is>
      </c>
      <c r="C23" s="5" t="inlineStr">
        <is>
          <t>SAR 230–300M</t>
        </is>
      </c>
    </row>
    <row r="24">
      <c r="B24" s="3" t="inlineStr">
        <is>
          <t>Sponsor in-kind contribution</t>
        </is>
      </c>
      <c r="C24" s="5" t="inlineStr">
        <is>
          <t>SAR 130–170M (net of debt)</t>
        </is>
      </c>
    </row>
    <row r="25">
      <c r="B25" s="3" t="inlineStr">
        <is>
          <t>New LP cash commitment</t>
        </is>
      </c>
      <c r="C25" s="5" t="inlineStr">
        <is>
          <t>SAR 100–130M</t>
        </is>
      </c>
    </row>
    <row r="26">
      <c r="B26" s="3" t="inlineStr">
        <is>
          <t>Use of proceeds (mid)</t>
        </is>
      </c>
      <c r="C26" s="5" t="inlineStr">
        <is>
          <t>60% debt settle / 25% activation / 12% reserves / 3% setup</t>
        </is>
      </c>
    </row>
    <row r="27">
      <c r="B27" s="3" t="inlineStr">
        <is>
          <t>Target LP IRR</t>
        </is>
      </c>
      <c r="C27" s="5" t="inlineStr">
        <is>
          <t>12–15% (unleveraged at fund level)</t>
        </is>
      </c>
    </row>
    <row r="28">
      <c r="B28" s="3" t="inlineStr">
        <is>
          <t>Target LP MOIC</t>
        </is>
      </c>
      <c r="C28" s="5" t="inlineStr">
        <is>
          <t>1.7–2.0x</t>
        </is>
      </c>
    </row>
    <row r="29">
      <c r="B29" s="3" t="inlineStr">
        <is>
          <t>Target Cash-on-Cash</t>
        </is>
      </c>
      <c r="C29" s="5" t="inlineStr">
        <is>
          <t>6–8% from Y2</t>
        </is>
      </c>
    </row>
    <row r="30">
      <c r="B30" s="3" t="inlineStr">
        <is>
          <t>LP preferred return (Hurdle)</t>
        </is>
      </c>
      <c r="C30" s="5" t="inlineStr">
        <is>
          <t>8% IRR</t>
        </is>
      </c>
    </row>
    <row r="31">
      <c r="B31" s="3" t="inlineStr">
        <is>
          <t>GP carry</t>
        </is>
      </c>
      <c r="C31" s="5" t="inlineStr">
        <is>
          <t>20% above hurdle, European waterfall, with catch-up</t>
        </is>
      </c>
    </row>
    <row r="32">
      <c r="B32" s="3" t="inlineStr">
        <is>
          <t>Management fee</t>
        </is>
      </c>
      <c r="C32" s="5" t="inlineStr">
        <is>
          <t>1.5% of NAV per annum</t>
        </is>
      </c>
    </row>
    <row r="33">
      <c r="B33" s="3" t="inlineStr">
        <is>
          <t>Setup fee</t>
        </is>
      </c>
      <c r="C33" s="5" t="inlineStr">
        <is>
          <t>1% of LP commitments (one-time)</t>
        </is>
      </c>
    </row>
    <row r="36">
      <c r="B36" s="4" t="inlineStr">
        <is>
          <t>SHEET MAP</t>
        </is>
      </c>
    </row>
    <row r="37">
      <c r="B37" s="3" t="inlineStr">
        <is>
          <t>Fund_Summary</t>
        </is>
      </c>
      <c r="C37" s="5" t="inlineStr">
        <is>
          <t>Single-page IC dashboard</t>
        </is>
      </c>
    </row>
    <row r="38">
      <c r="B38" s="3" t="inlineStr">
        <is>
          <t>Assumptions</t>
        </is>
      </c>
      <c r="C38" s="5" t="inlineStr">
        <is>
          <t>All model inputs (BLUE = user input)</t>
        </is>
      </c>
    </row>
    <row r="39">
      <c r="B39" s="3" t="inlineStr">
        <is>
          <t>Portfolio</t>
        </is>
      </c>
      <c r="C39" s="5" t="inlineStr">
        <is>
          <t>29-property rent roll: value, income, mortgage, category</t>
        </is>
      </c>
    </row>
    <row r="40">
      <c r="B40" s="3" t="inlineStr">
        <is>
          <t>Activation</t>
        </is>
      </c>
      <c r="C40" s="5" t="inlineStr">
        <is>
          <t>4 idle assets — ramp timeline + value-add</t>
        </is>
      </c>
    </row>
    <row r="41">
      <c r="B41" s="3" t="inlineStr">
        <is>
          <t>Sources_Uses</t>
        </is>
      </c>
      <c r="C41" s="5" t="inlineStr">
        <is>
          <t>Fund formation: in-kind + LP cash → debt settle + activation + reserves</t>
        </is>
      </c>
    </row>
    <row r="42">
      <c r="B42" s="3" t="inlineStr">
        <is>
          <t>Debt_Restructure</t>
        </is>
      </c>
      <c r="C42" s="5" t="inlineStr">
        <is>
          <t>Settlement scenarios (haircut 25–35%)</t>
        </is>
      </c>
    </row>
    <row r="43">
      <c r="B43" s="3" t="inlineStr">
        <is>
          <t>Revenue</t>
        </is>
      </c>
      <c r="C43" s="5" t="inlineStr">
        <is>
          <t>Annual rental + asset-sale revenue build</t>
        </is>
      </c>
    </row>
    <row r="44">
      <c r="B44" s="3" t="inlineStr">
        <is>
          <t>OpEx_Fees</t>
        </is>
      </c>
      <c r="C44" s="5" t="inlineStr">
        <is>
          <t>Property opex + management fees + custodian + setup</t>
        </is>
      </c>
    </row>
    <row r="45">
      <c r="B45" s="3" t="inlineStr">
        <is>
          <t>Fund_CF</t>
        </is>
      </c>
      <c r="C45" s="5" t="inlineStr">
        <is>
          <t>5-year fund-level cash flow</t>
        </is>
      </c>
    </row>
    <row r="46">
      <c r="B46" s="3" t="inlineStr">
        <is>
          <t>NAV_Trajectory</t>
        </is>
      </c>
      <c r="C46" s="5" t="inlineStr">
        <is>
          <t>NAV evolution (closing through exit)</t>
        </is>
      </c>
    </row>
    <row r="47">
      <c r="B47" s="3" t="inlineStr">
        <is>
          <t>Waterfall</t>
        </is>
      </c>
      <c r="C47" s="5" t="inlineStr">
        <is>
          <t>European waterfall — LP pref / GP catch-up / 80-20 carry</t>
        </is>
      </c>
    </row>
    <row r="48">
      <c r="B48" s="3" t="inlineStr">
        <is>
          <t>LP_Returns</t>
        </is>
      </c>
      <c r="C48" s="5" t="inlineStr">
        <is>
          <t>LP IRR / MOIC / Cash-on-Cash</t>
        </is>
      </c>
    </row>
    <row r="49">
      <c r="B49" s="3" t="inlineStr">
        <is>
          <t>GP_Economics</t>
        </is>
      </c>
      <c r="C49" s="5" t="inlineStr">
        <is>
          <t>Manager fees + GP carry + sponsor in-kind value</t>
        </is>
      </c>
    </row>
    <row r="50">
      <c r="B50" s="3" t="inlineStr">
        <is>
          <t>Stress_Tests</t>
        </is>
      </c>
      <c r="C50" s="5" t="inlineStr">
        <is>
          <t>5 cases: Base / Downside / Severe / Stress / Upside</t>
        </is>
      </c>
    </row>
    <row r="51">
      <c r="B51" s="3" t="inlineStr">
        <is>
          <t>Sensitivity</t>
        </is>
      </c>
      <c r="C51" s="5" t="inlineStr">
        <is>
          <t>Two-way matrices on key drivers</t>
        </is>
      </c>
    </row>
    <row r="52">
      <c r="B52" s="3" t="inlineStr">
        <is>
          <t>Risk_Disclosure</t>
        </is>
      </c>
      <c r="C52" s="5" t="inlineStr">
        <is>
          <t>Formal risk factor disclosures</t>
        </is>
      </c>
    </row>
    <row r="53">
      <c r="B53" s="3" t="inlineStr">
        <is>
          <t>IC_Memo</t>
        </is>
      </c>
      <c r="C53" s="5" t="inlineStr">
        <is>
          <t>Investment committee memo</t>
        </is>
      </c>
    </row>
    <row r="54">
      <c r="B54" s="3" t="inlineStr">
        <is>
          <t>Audit</t>
        </is>
      </c>
      <c r="C54" s="5" t="inlineStr">
        <is>
          <t>Integrity checks (sources=uses, balance, sign convention)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4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</cols>
  <sheetData>
    <row r="2">
      <c r="B2" s="6" t="inlineStr">
        <is>
          <t>FUND SUMMARY — IC One-Pager</t>
        </is>
      </c>
    </row>
    <row r="4">
      <c r="B4" s="4" t="inlineStr">
        <is>
          <t>FUND STRUCTURE</t>
        </is>
      </c>
    </row>
    <row r="5">
      <c r="B5" s="3" t="inlineStr">
        <is>
          <t>Sponsor</t>
        </is>
      </c>
      <c r="C5" s="5" t="inlineStr">
        <is>
          <t>"Bin Amer Holding"</t>
        </is>
      </c>
    </row>
    <row r="6">
      <c r="B6" s="3" t="inlineStr">
        <is>
          <t>Vehicle</t>
        </is>
      </c>
      <c r="C6" s="5" t="inlineStr">
        <is>
          <t>"Saudi Private RE Fund (CMA-licensed)"</t>
        </is>
      </c>
    </row>
    <row r="7">
      <c r="B7" s="3" t="inlineStr">
        <is>
          <t>Fund life</t>
        </is>
      </c>
      <c r="C7" s="5">
        <f>Assumptions!$D$6&amp;" years"</f>
        <v/>
      </c>
    </row>
    <row r="8">
      <c r="B8" s="3" t="inlineStr">
        <is>
          <t>Currency</t>
        </is>
      </c>
      <c r="C8" s="5" t="inlineStr">
        <is>
          <t>"SAR"</t>
        </is>
      </c>
    </row>
    <row r="9">
      <c r="B9" s="3" t="inlineStr">
        <is>
          <t>Sharia compliance</t>
        </is>
      </c>
      <c r="C9" s="5" t="inlineStr">
        <is>
          <t>"Yes — independent board"</t>
        </is>
      </c>
    </row>
    <row r="11">
      <c r="B11" s="4" t="inlineStr">
        <is>
          <t>CAPITAL</t>
        </is>
      </c>
    </row>
    <row r="12">
      <c r="B12" s="3" t="inlineStr">
        <is>
          <t>Total fund equity at close</t>
        </is>
      </c>
      <c r="C12" s="7">
        <f>Assumptions!$D$18</f>
        <v/>
      </c>
    </row>
    <row r="13">
      <c r="B13" s="3" t="inlineStr">
        <is>
          <t>LP commitment (cash)</t>
        </is>
      </c>
      <c r="C13" s="7">
        <f>Assumptions!$D$17</f>
        <v/>
      </c>
    </row>
    <row r="14">
      <c r="B14" s="3" t="inlineStr">
        <is>
          <t>Sponsor in-kind</t>
        </is>
      </c>
      <c r="C14" s="7">
        <f>Assumptions!$D$16</f>
        <v/>
      </c>
    </row>
    <row r="15">
      <c r="B15" s="3" t="inlineStr">
        <is>
          <t>LP ownership %</t>
        </is>
      </c>
      <c r="C15" s="8">
        <f>Assumptions!$D$19</f>
        <v/>
      </c>
    </row>
    <row r="16">
      <c r="B16" s="3" t="inlineStr">
        <is>
          <t>Initial portfolio value (gross)</t>
        </is>
      </c>
      <c r="C16" s="7">
        <f>Assumptions!$D$10</f>
        <v/>
      </c>
    </row>
    <row r="17">
      <c r="B17" s="3" t="inlineStr">
        <is>
          <t>Existing senior debt (face)</t>
        </is>
      </c>
      <c r="C17" s="7">
        <f>Assumptions!$D$30</f>
        <v/>
      </c>
    </row>
    <row r="18">
      <c r="B18" s="3" t="inlineStr">
        <is>
          <t>Settlement cash needed</t>
        </is>
      </c>
      <c r="C18" s="7">
        <f>Assumptions!$D$32</f>
        <v/>
      </c>
    </row>
    <row r="19">
      <c r="B19" s="3" t="inlineStr">
        <is>
          <t>Settlement haircut benefit</t>
        </is>
      </c>
      <c r="C19" s="7">
        <f>Assumptions!$D$33</f>
        <v/>
      </c>
    </row>
    <row r="21">
      <c r="B21" s="4" t="inlineStr">
        <is>
          <t>RETURNS (LP)</t>
        </is>
      </c>
    </row>
    <row r="22">
      <c r="B22" s="3" t="inlineStr">
        <is>
          <t>LP IRR (target 12–15%)</t>
        </is>
      </c>
      <c r="C22" s="9">
        <f>LP_Returns!$C$12</f>
        <v/>
      </c>
    </row>
    <row r="23">
      <c r="B23" s="3" t="inlineStr">
        <is>
          <t>LP MOIC (target 1.7–2.0x)</t>
        </is>
      </c>
      <c r="C23" s="55">
        <f>LP_Returns!$C$11</f>
        <v/>
      </c>
    </row>
    <row r="24">
      <c r="B24" s="3" t="inlineStr">
        <is>
          <t>Cash-on-Cash Y2</t>
        </is>
      </c>
      <c r="C24" s="8">
        <f>LP_Returns!$C$15</f>
        <v/>
      </c>
    </row>
    <row r="25">
      <c r="B25" s="3" t="inlineStr">
        <is>
          <t>Cash-on-Cash Y3</t>
        </is>
      </c>
      <c r="C25" s="8">
        <f>LP_Returns!$C$16</f>
        <v/>
      </c>
    </row>
    <row r="26">
      <c r="B26" s="3" t="inlineStr">
        <is>
          <t>LP NPV @ 13%</t>
        </is>
      </c>
      <c r="C26" s="7">
        <f>LP_Returns!$C$13</f>
        <v/>
      </c>
    </row>
    <row r="28">
      <c r="B28" s="4" t="inlineStr">
        <is>
          <t>AUDIT</t>
        </is>
      </c>
    </row>
    <row r="29">
      <c r="B29" s="3" t="inlineStr">
        <is>
          <t>Checks OK</t>
        </is>
      </c>
      <c r="C29" s="11">
        <f>Audit!$C$22</f>
        <v/>
      </c>
    </row>
    <row r="30">
      <c r="B30" s="3" t="inlineStr">
        <is>
          <t>Checks REVIEW</t>
        </is>
      </c>
      <c r="C30" s="11">
        <f>Audit!$C$23</f>
        <v/>
      </c>
    </row>
    <row r="31">
      <c r="B31" s="3" t="inlineStr">
        <is>
          <t>Checks ERROR</t>
        </is>
      </c>
      <c r="C31" s="12">
        <f>Audit!$C$24</f>
        <v/>
      </c>
    </row>
    <row r="33">
      <c r="B33" s="4" t="inlineStr">
        <is>
          <t>RECOMMENDATION</t>
        </is>
      </c>
    </row>
    <row r="34">
      <c r="B34" s="6">
        <f>IF(AND(LP_Returns!$C$12&gt;=0.12,LP_Returns!$C$11&gt;=1.7,Audit!$C$24=0),"PROCEED TO DD",IF(LP_Returns!$C$12&gt;=0.08,"DD WITH CAUTION","REJECT"))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87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4" customWidth="1" min="3" max="3"/>
    <col width="22" customWidth="1" min="4" max="4"/>
    <col width="10" customWidth="1" min="5" max="5"/>
    <col width="60" customWidth="1" min="6" max="6"/>
  </cols>
  <sheetData>
    <row r="2">
      <c r="B2" s="13" t="inlineStr">
        <is>
          <t>ASSUMPTIONS — Single source of truth (BLUE = input)</t>
        </is>
      </c>
    </row>
    <row r="4">
      <c r="B4" s="4" t="inlineStr">
        <is>
          <t>1. FUND TIMING</t>
        </is>
      </c>
    </row>
    <row r="5">
      <c r="B5" t="inlineStr">
        <is>
          <t>Fund close year (Y0)</t>
        </is>
      </c>
      <c r="D5" s="14" t="n">
        <v>2026</v>
      </c>
      <c r="E5" s="15" t="inlineStr">
        <is>
          <t>year</t>
        </is>
      </c>
      <c r="F5" s="16" t="inlineStr">
        <is>
          <t>First close</t>
        </is>
      </c>
    </row>
    <row r="6">
      <c r="B6" t="inlineStr">
        <is>
          <t>Fund life (years)</t>
        </is>
      </c>
      <c r="D6" s="14" t="n">
        <v>5</v>
      </c>
      <c r="E6" s="15" t="inlineStr">
        <is>
          <t>yrs</t>
        </is>
      </c>
      <c r="F6" s="16" t="inlineStr">
        <is>
          <t>Closed-end. 1-yr extension flex.</t>
        </is>
      </c>
    </row>
    <row r="7">
      <c r="B7" t="inlineStr">
        <is>
          <t>Exit year</t>
        </is>
      </c>
      <c r="D7" s="17">
        <f>$D$5+$D$6</f>
        <v/>
      </c>
      <c r="E7" s="15" t="inlineStr">
        <is>
          <t>year</t>
        </is>
      </c>
      <c r="F7" s="16" t="inlineStr">
        <is>
          <t>Calculated</t>
        </is>
      </c>
    </row>
    <row r="9">
      <c r="B9" s="4" t="inlineStr">
        <is>
          <t>2. PORTFOLIO (anchor)</t>
        </is>
      </c>
    </row>
    <row r="10">
      <c r="B10" t="inlineStr">
        <is>
          <t>Total portfolio book value</t>
        </is>
      </c>
      <c r="D10" s="18" t="n">
        <v>242413692</v>
      </c>
      <c r="E10" s="15" t="inlineStr">
        <is>
          <t>SAR</t>
        </is>
      </c>
      <c r="F10" s="16" t="inlineStr">
        <is>
          <t>From IM Table 0 R2 — 29 properties</t>
        </is>
      </c>
    </row>
    <row r="11">
      <c r="B11" t="inlineStr">
        <is>
          <t>Current annual rental income</t>
        </is>
      </c>
      <c r="D11" s="18" t="n">
        <v>9817600</v>
      </c>
      <c r="E11" s="15" t="inlineStr">
        <is>
          <t>SAR</t>
        </is>
      </c>
      <c r="F11" s="16" t="inlineStr">
        <is>
          <t>From IM Table 0 R3 — pre-activation Y0 run-rate</t>
        </is>
      </c>
    </row>
    <row r="12">
      <c r="B12" t="inlineStr">
        <is>
          <t>Current gross yield (implied)</t>
        </is>
      </c>
      <c r="D12" s="19">
        <f>$D$11/$D$10</f>
        <v/>
      </c>
      <c r="E12" s="15" t="inlineStr">
        <is>
          <t>%</t>
        </is>
      </c>
      <c r="F12" s="16" t="inlineStr">
        <is>
          <t>Calculated — 4.05%</t>
        </is>
      </c>
    </row>
    <row r="13">
      <c r="B13" t="inlineStr">
        <is>
          <t>Vacant-land share of portfolio</t>
        </is>
      </c>
      <c r="D13" s="19" t="n">
        <v>0.488</v>
      </c>
      <c r="E13" s="15" t="inlineStr">
        <is>
          <t>%</t>
        </is>
      </c>
      <c r="F13" s="16" t="inlineStr">
        <is>
          <t>SAR 118.3M / SAR 242.4M; zero current income</t>
        </is>
      </c>
    </row>
    <row r="15">
      <c r="B15" s="4" t="inlineStr">
        <is>
          <t>3. CAPITAL STRUCTURE AT CLOSING</t>
        </is>
      </c>
    </row>
    <row r="16">
      <c r="B16" t="inlineStr">
        <is>
          <t>Sponsor in-kind contribution (net of debt)</t>
        </is>
      </c>
      <c r="D16" s="18" t="n">
        <v>145000000</v>
      </c>
      <c r="E16" s="15" t="inlineStr">
        <is>
          <t>SAR</t>
        </is>
      </c>
      <c r="F16" s="16" t="inlineStr">
        <is>
          <t>Mid-point of SAR 130–170M range; assets net of debt</t>
        </is>
      </c>
    </row>
    <row r="17">
      <c r="B17" t="inlineStr">
        <is>
          <t>LP new cash commitment</t>
        </is>
      </c>
      <c r="D17" s="18" t="n">
        <v>115000000</v>
      </c>
      <c r="E17" s="15" t="inlineStr">
        <is>
          <t>SAR</t>
        </is>
      </c>
      <c r="F17" s="16" t="inlineStr">
        <is>
          <t>Mid-point of SAR 100–130M target</t>
        </is>
      </c>
    </row>
    <row r="18">
      <c r="B18" t="inlineStr">
        <is>
          <t>Total fund equity at close</t>
        </is>
      </c>
      <c r="D18" s="20">
        <f>$D$16+$D$17</f>
        <v/>
      </c>
      <c r="E18" s="15" t="inlineStr">
        <is>
          <t>SAR</t>
        </is>
      </c>
      <c r="F18" s="16" t="inlineStr">
        <is>
          <t>Initial NAV before debt settlement uses</t>
        </is>
      </c>
    </row>
    <row r="19">
      <c r="B19" t="inlineStr">
        <is>
          <t>LP ownership %</t>
        </is>
      </c>
      <c r="D19" s="21">
        <f>$D$17/$D$18</f>
        <v/>
      </c>
      <c r="E19" s="15" t="inlineStr">
        <is>
          <t>%</t>
        </is>
      </c>
      <c r="F19" s="16" t="inlineStr">
        <is>
          <t>Calculated</t>
        </is>
      </c>
    </row>
    <row r="20">
      <c r="B20" t="inlineStr">
        <is>
          <t>Sponsor ownership %</t>
        </is>
      </c>
      <c r="D20" s="21">
        <f>$D$16/$D$18</f>
        <v/>
      </c>
      <c r="E20" s="15" t="inlineStr">
        <is>
          <t>%</t>
        </is>
      </c>
      <c r="F20" s="16" t="inlineStr">
        <is>
          <t>Calculated</t>
        </is>
      </c>
    </row>
    <row r="22">
      <c r="B22" s="4" t="inlineStr">
        <is>
          <t>4. USE OF LP CASH (mid-point of doc Table 3)</t>
        </is>
      </c>
    </row>
    <row r="23">
      <c r="B23" t="inlineStr">
        <is>
          <t>Debt settlement share</t>
        </is>
      </c>
      <c r="D23" s="22" t="n">
        <v>0.6</v>
      </c>
      <c r="E23" s="15" t="inlineStr">
        <is>
          <t>%</t>
        </is>
      </c>
      <c r="F23" s="16" t="inlineStr">
        <is>
          <t>55–65% range; cash paid to creditors</t>
        </is>
      </c>
    </row>
    <row r="24">
      <c r="B24" t="inlineStr">
        <is>
          <t>Asset activation share</t>
        </is>
      </c>
      <c r="D24" s="22" t="n">
        <v>0.25</v>
      </c>
      <c r="E24" s="15" t="inlineStr">
        <is>
          <t>%</t>
        </is>
      </c>
      <c r="F24" s="16" t="inlineStr">
        <is>
          <t>20–25% range; capex on RE-006, RE-018, RE-020, RE-029</t>
        </is>
      </c>
    </row>
    <row r="25">
      <c r="B25" t="inlineStr">
        <is>
          <t>Operating reserve share</t>
        </is>
      </c>
      <c r="D25" s="22" t="n">
        <v>0.12</v>
      </c>
      <c r="E25" s="15" t="inlineStr">
        <is>
          <t>%</t>
        </is>
      </c>
      <c r="F25" s="16" t="inlineStr">
        <is>
          <t>10–15% range; working-cap + contingency</t>
        </is>
      </c>
    </row>
    <row r="26">
      <c r="B26" t="inlineStr">
        <is>
          <t>Setup/licensing share</t>
        </is>
      </c>
      <c r="D26" s="22" t="n">
        <v>0.03</v>
      </c>
      <c r="E26" s="15" t="inlineStr">
        <is>
          <t>%</t>
        </is>
      </c>
      <c r="F26" s="16" t="inlineStr">
        <is>
          <t>3–5% range; CMA fees, valuation, legal</t>
        </is>
      </c>
    </row>
    <row r="27">
      <c r="B27" t="inlineStr">
        <is>
          <t>Total use share check</t>
        </is>
      </c>
      <c r="D27" s="21">
        <f>SUM($D$23:$D$26)</f>
        <v/>
      </c>
      <c r="E27" s="15" t="inlineStr">
        <is>
          <t>%</t>
        </is>
      </c>
      <c r="F27" s="16" t="inlineStr">
        <is>
          <t>Must = 100%</t>
        </is>
      </c>
    </row>
    <row r="29">
      <c r="B29" s="4" t="inlineStr">
        <is>
          <t>5. DEBT SETTLEMENT</t>
        </is>
      </c>
    </row>
    <row r="30">
      <c r="B30" t="inlineStr">
        <is>
          <t>Existing senior debt (face)</t>
        </is>
      </c>
      <c r="D30" s="18" t="n">
        <v>100000000</v>
      </c>
      <c r="E30" s="15" t="inlineStr">
        <is>
          <t>SAR</t>
        </is>
      </c>
      <c r="F30" s="16" t="inlineStr">
        <is>
          <t>Bin Amer disclosed &gt;SAR 100M</t>
        </is>
      </c>
    </row>
    <row r="31">
      <c r="B31" t="inlineStr">
        <is>
          <t>Settlement haircut (creditors accept)</t>
        </is>
      </c>
      <c r="D31" s="22" t="n">
        <v>0.3</v>
      </c>
      <c r="E31" s="15" t="inlineStr">
        <is>
          <t>%</t>
        </is>
      </c>
      <c r="F31" s="16" t="inlineStr">
        <is>
          <t>25–35% range; mid-point</t>
        </is>
      </c>
    </row>
    <row r="32">
      <c r="B32" t="inlineStr">
        <is>
          <t>Cash needed to settle</t>
        </is>
      </c>
      <c r="D32" s="20">
        <f>$D$30*(1-$D$31)</f>
        <v/>
      </c>
      <c r="E32" s="15" t="inlineStr">
        <is>
          <t>SAR</t>
        </is>
      </c>
      <c r="F32" s="16" t="inlineStr">
        <is>
          <t>Face × (1 − haircut)</t>
        </is>
      </c>
    </row>
    <row r="33">
      <c r="B33" t="inlineStr">
        <is>
          <t>Cash freed by haircut</t>
        </is>
      </c>
      <c r="D33" s="20">
        <f>$D$30*$D$31</f>
        <v/>
      </c>
      <c r="E33" s="15" t="inlineStr">
        <is>
          <t>SAR</t>
        </is>
      </c>
      <c r="F33" s="16" t="inlineStr">
        <is>
          <t>Equity value created for fund</t>
        </is>
      </c>
    </row>
    <row r="34">
      <c r="B34" t="inlineStr">
        <is>
          <t>LP cash earmarked for debt</t>
        </is>
      </c>
      <c r="D34" s="20">
        <f>$D$17*$D$23</f>
        <v/>
      </c>
      <c r="E34" s="15" t="inlineStr">
        <is>
          <t>SAR</t>
        </is>
      </c>
      <c r="F34" s="16" t="inlineStr">
        <is>
          <t>From LP cash × debt-settle share</t>
        </is>
      </c>
    </row>
    <row r="35">
      <c r="B35" t="inlineStr">
        <is>
          <t>LP cash sufficiency vs need</t>
        </is>
      </c>
      <c r="D35" s="20">
        <f>$D$34-$D$32</f>
        <v/>
      </c>
      <c r="E35" s="15" t="inlineStr">
        <is>
          <t>SAR</t>
        </is>
      </c>
      <c r="F35" s="16" t="inlineStr">
        <is>
          <t>Positive = enough; negative = shortfall</t>
        </is>
      </c>
    </row>
    <row r="37">
      <c r="B37" s="4" t="inlineStr">
        <is>
          <t>6. ACTIVATION (idle assets ramp)</t>
        </is>
      </c>
    </row>
    <row r="38">
      <c r="B38" t="inlineStr">
        <is>
          <t>RE-006 (Sulaymaniyah parking) — annual</t>
        </is>
      </c>
      <c r="D38" s="18" t="n">
        <v>400000</v>
      </c>
      <c r="E38" s="15" t="inlineStr">
        <is>
          <t>SAR</t>
        </is>
      </c>
      <c r="F38" s="16" t="inlineStr">
        <is>
          <t>300–500K range, online in 1–3 months</t>
        </is>
      </c>
    </row>
    <row r="39">
      <c r="B39" t="inlineStr">
        <is>
          <t>RE-018 (Hajj Tower) — annual</t>
        </is>
      </c>
      <c r="D39" s="18" t="n">
        <v>2000000</v>
      </c>
      <c r="E39" s="15" t="inlineStr">
        <is>
          <t>SAR</t>
        </is>
      </c>
      <c r="F39" s="16" t="inlineStr">
        <is>
          <t>1–3M range, online in 3–6 months</t>
        </is>
      </c>
    </row>
    <row r="40">
      <c r="B40" t="inlineStr">
        <is>
          <t>RE-020 (Al-Masarah villa) — annual</t>
        </is>
      </c>
      <c r="D40" s="18" t="n">
        <v>100000</v>
      </c>
      <c r="E40" s="15" t="inlineStr">
        <is>
          <t>SAR</t>
        </is>
      </c>
      <c r="F40" s="16" t="inlineStr">
        <is>
          <t>80–120K range, online in 1–2 months</t>
        </is>
      </c>
    </row>
    <row r="41">
      <c r="B41" t="inlineStr">
        <is>
          <t>RE-029 (Bathaa Quraish station) — annual</t>
        </is>
      </c>
      <c r="D41" s="18" t="n">
        <v>300000</v>
      </c>
      <c r="E41" s="15" t="inlineStr">
        <is>
          <t>SAR</t>
        </is>
      </c>
      <c r="F41" s="16" t="inlineStr">
        <is>
          <t>200–400K range, online in 1–2 months</t>
        </is>
      </c>
    </row>
    <row r="42">
      <c r="B42" t="inlineStr">
        <is>
          <t>Total activation income (steady-state)</t>
        </is>
      </c>
      <c r="D42" s="20">
        <f>SUM($D$38:$D$41)</f>
        <v/>
      </c>
      <c r="E42" s="15" t="inlineStr">
        <is>
          <t>SAR</t>
        </is>
      </c>
      <c r="F42" s="16" t="inlineStr">
        <is>
          <t>Annual from Y2 onward</t>
        </is>
      </c>
    </row>
    <row r="43">
      <c r="B43" t="inlineStr">
        <is>
          <t>Activation capex required</t>
        </is>
      </c>
      <c r="D43" s="18" t="n">
        <v>25900000</v>
      </c>
      <c r="E43" s="15" t="inlineStr">
        <is>
          <t>SAR</t>
        </is>
      </c>
      <c r="F43" s="16" t="inlineStr">
        <is>
          <t>From LP use of proceeds (25% × 115M)</t>
        </is>
      </c>
    </row>
    <row r="44">
      <c r="B44" t="inlineStr">
        <is>
          <t>Activation ramp factor — Y1</t>
        </is>
      </c>
      <c r="D44" s="22" t="n">
        <v>0.3</v>
      </c>
      <c r="E44" s="15" t="inlineStr">
        <is>
          <t>%</t>
        </is>
      </c>
      <c r="F44" s="16" t="inlineStr">
        <is>
          <t>Partial ramp during launch year</t>
        </is>
      </c>
    </row>
    <row r="45">
      <c r="B45" t="inlineStr">
        <is>
          <t>Activation ramp factor — Y2</t>
        </is>
      </c>
      <c r="D45" s="22" t="n">
        <v>0.9</v>
      </c>
      <c r="E45" s="15" t="inlineStr">
        <is>
          <t>%</t>
        </is>
      </c>
      <c r="F45" s="16" t="inlineStr">
        <is>
          <t>Near full ramp</t>
        </is>
      </c>
    </row>
    <row r="46">
      <c r="B46" t="inlineStr">
        <is>
          <t>Activation ramp factor — Y3+</t>
        </is>
      </c>
      <c r="D46" s="22" t="n">
        <v>1</v>
      </c>
      <c r="E46" s="15" t="inlineStr">
        <is>
          <t>%</t>
        </is>
      </c>
      <c r="F46" s="16" t="inlineStr">
        <is>
          <t>Full run-rate</t>
        </is>
      </c>
    </row>
    <row r="48">
      <c r="B48" s="4" t="inlineStr">
        <is>
          <t>7. RENT GROWTH &amp; PROPERTY OPEX</t>
        </is>
      </c>
    </row>
    <row r="49">
      <c r="B49" t="inlineStr">
        <is>
          <t>Organic rent growth (per annum)</t>
        </is>
      </c>
      <c r="D49" s="22" t="n">
        <v>0.04</v>
      </c>
      <c r="E49" s="15" t="inlineStr">
        <is>
          <t>%</t>
        </is>
      </c>
      <c r="F49" s="16" t="inlineStr">
        <is>
          <t>Mid-cycle KSA stabilized RE; doc projects ~5% but conservative</t>
        </is>
      </c>
    </row>
    <row r="50">
      <c r="B50" t="inlineStr">
        <is>
          <t>Property-level OpEx (% of gross rent)</t>
        </is>
      </c>
      <c r="D50" s="22" t="n">
        <v>0.2</v>
      </c>
      <c r="E50" s="15" t="inlineStr">
        <is>
          <t>%</t>
        </is>
      </c>
      <c r="F50" s="16" t="inlineStr">
        <is>
          <t>Includes management, maintenance, vacancy, white-land tax provision</t>
        </is>
      </c>
    </row>
    <row r="51">
      <c r="B51" t="inlineStr">
        <is>
          <t>OpEx inflation per annum</t>
        </is>
      </c>
      <c r="D51" s="22" t="n">
        <v>0.03</v>
      </c>
      <c r="E51" s="15" t="inlineStr">
        <is>
          <t>%</t>
        </is>
      </c>
      <c r="F51" s="16" t="inlineStr">
        <is>
          <t>KSA CPI proxy</t>
        </is>
      </c>
    </row>
    <row r="53">
      <c r="B53" s="4" t="inlineStr">
        <is>
          <t>8. NON-CORE ASSET SALES (per IM Table 11)</t>
        </is>
      </c>
    </row>
    <row r="54">
      <c r="B54" t="inlineStr">
        <is>
          <t>Sales — Y1</t>
        </is>
      </c>
      <c r="D54" s="18" t="n">
        <v>20000000</v>
      </c>
      <c r="E54" s="15" t="inlineStr">
        <is>
          <t>SAR</t>
        </is>
      </c>
      <c r="F54" s="16" t="inlineStr">
        <is>
          <t>Bathaa Quraish parcel + small lots</t>
        </is>
      </c>
    </row>
    <row r="55">
      <c r="B55" t="inlineStr">
        <is>
          <t>Sales — Y2</t>
        </is>
      </c>
      <c r="D55" s="18" t="n">
        <v>10000000</v>
      </c>
      <c r="E55" s="15" t="inlineStr">
        <is>
          <t>SAR</t>
        </is>
      </c>
      <c r="F55" s="16" t="inlineStr">
        <is>
          <t>Hada land share, small lots</t>
        </is>
      </c>
    </row>
    <row r="56">
      <c r="B56" t="inlineStr">
        <is>
          <t>Sales — Y3</t>
        </is>
      </c>
      <c r="D56" s="18" t="n">
        <v>5000000</v>
      </c>
      <c r="E56" s="15" t="inlineStr">
        <is>
          <t>SAR</t>
        </is>
      </c>
      <c r="F56" s="16" t="inlineStr">
        <is>
          <t>Small parcels</t>
        </is>
      </c>
    </row>
    <row r="57">
      <c r="B57" t="inlineStr">
        <is>
          <t>Sales — Y4</t>
        </is>
      </c>
      <c r="D57" s="18" t="n">
        <v>0</v>
      </c>
      <c r="E57" s="15" t="inlineStr">
        <is>
          <t>SAR</t>
        </is>
      </c>
      <c r="F57" s="16" t="inlineStr">
        <is>
          <t>Pause</t>
        </is>
      </c>
    </row>
    <row r="58">
      <c r="B58" t="inlineStr">
        <is>
          <t>Sales — Y5</t>
        </is>
      </c>
      <c r="D58" s="18" t="n">
        <v>20000000</v>
      </c>
      <c r="E58" s="15" t="inlineStr">
        <is>
          <t>SAR</t>
        </is>
      </c>
      <c r="F58" s="16" t="inlineStr">
        <is>
          <t>Exit-prep sales / non-core lands</t>
        </is>
      </c>
    </row>
    <row r="60">
      <c r="B60" s="4" t="inlineStr">
        <is>
          <t>9. FUND FEES &amp; EXPENSES</t>
        </is>
      </c>
    </row>
    <row r="61">
      <c r="B61" t="inlineStr">
        <is>
          <t>Manager fee (% of NAV)</t>
        </is>
      </c>
      <c r="D61" s="56" t="n">
        <v>0.015</v>
      </c>
      <c r="E61" s="15" t="inlineStr">
        <is>
          <t>%</t>
        </is>
      </c>
      <c r="F61" s="16" t="inlineStr">
        <is>
          <t>1.5% per IM Table 7</t>
        </is>
      </c>
    </row>
    <row r="62">
      <c r="B62" t="inlineStr">
        <is>
          <t>Setup fee (% of LP commitments, one-time)</t>
        </is>
      </c>
      <c r="D62" s="56" t="n">
        <v>0.01</v>
      </c>
      <c r="E62" s="15" t="inlineStr">
        <is>
          <t>%</t>
        </is>
      </c>
      <c r="F62" s="16" t="inlineStr">
        <is>
          <t>1% per IM Table 7</t>
        </is>
      </c>
    </row>
    <row r="63">
      <c r="B63" t="inlineStr">
        <is>
          <t>Custodian + audit + legal (annual)</t>
        </is>
      </c>
      <c r="D63" s="18" t="n">
        <v>1500000</v>
      </c>
      <c r="E63" s="15" t="inlineStr">
        <is>
          <t>SAR</t>
        </is>
      </c>
      <c r="F63" s="16" t="inlineStr">
        <is>
          <t>Fixed annual fund-level expenses</t>
        </is>
      </c>
    </row>
    <row r="64">
      <c r="B64" t="inlineStr">
        <is>
          <t>Sharia board (annual)</t>
        </is>
      </c>
      <c r="D64" s="18" t="n">
        <v>150000</v>
      </c>
      <c r="E64" s="15" t="inlineStr">
        <is>
          <t>SAR</t>
        </is>
      </c>
      <c r="F64" s="16" t="inlineStr">
        <is>
          <t>Independent Sharia board annual fee</t>
        </is>
      </c>
    </row>
    <row r="65">
      <c r="B65" t="inlineStr">
        <is>
          <t>White-land-tax provision (annual)</t>
        </is>
      </c>
      <c r="D65" s="18" t="n">
        <v>1200000</v>
      </c>
      <c r="E65" s="15" t="inlineStr">
        <is>
          <t>SAR</t>
        </is>
      </c>
      <c r="F65" s="16" t="inlineStr">
        <is>
          <t>Mecca lands exposure; provision for potential tax</t>
        </is>
      </c>
    </row>
    <row r="67">
      <c r="B67" s="4" t="inlineStr">
        <is>
          <t>10. DISTRIBUTION WATERFALL (European)</t>
        </is>
      </c>
    </row>
    <row r="68">
      <c r="B68" t="inlineStr">
        <is>
          <t>LP preferred return (hurdle)</t>
        </is>
      </c>
      <c r="D68" s="22" t="n">
        <v>0.08</v>
      </c>
      <c r="E68" s="15" t="inlineStr">
        <is>
          <t>%</t>
        </is>
      </c>
      <c r="F68" s="16" t="inlineStr">
        <is>
          <t>8% per IM Table 4</t>
        </is>
      </c>
    </row>
    <row r="69">
      <c r="B69" t="inlineStr">
        <is>
          <t>GP carry above pref</t>
        </is>
      </c>
      <c r="D69" s="22" t="n">
        <v>0.2</v>
      </c>
      <c r="E69" s="15" t="inlineStr">
        <is>
          <t>%</t>
        </is>
      </c>
      <c r="F69" s="16" t="inlineStr">
        <is>
          <t>20% per IM Table 7; with catch-up</t>
        </is>
      </c>
    </row>
    <row r="70">
      <c r="B70" t="inlineStr">
        <is>
          <t>Catch-up enabled (1/0)</t>
        </is>
      </c>
      <c r="D70" s="14" t="n">
        <v>1</v>
      </c>
      <c r="E70" s="15" t="inlineStr">
        <is>
          <t>flag</t>
        </is>
      </c>
      <c r="F70" s="16" t="inlineStr">
        <is>
          <t>1 = GP catch-up before 80/20</t>
        </is>
      </c>
    </row>
    <row r="72">
      <c r="B72" s="4" t="inlineStr">
        <is>
          <t>11. EXIT</t>
        </is>
      </c>
    </row>
    <row r="73">
      <c r="B73" t="inlineStr">
        <is>
          <t>Exit cap rate (final-year NOI based)</t>
        </is>
      </c>
      <c r="D73" s="22" t="n">
        <v>0.075</v>
      </c>
      <c r="E73" s="15" t="inlineStr">
        <is>
          <t>%</t>
        </is>
      </c>
      <c r="F73" s="16" t="inlineStr">
        <is>
          <t>Stabilized portfolio cap at exit</t>
        </is>
      </c>
    </row>
    <row r="74">
      <c r="B74" t="inlineStr">
        <is>
          <t>Asset appreciation (compounded p.a.)</t>
        </is>
      </c>
      <c r="D74" s="22" t="n">
        <v>0.03</v>
      </c>
      <c r="E74" s="15" t="inlineStr">
        <is>
          <t>%</t>
        </is>
      </c>
      <c r="F74" s="16" t="inlineStr">
        <is>
          <t>Land + building inflation; conservative</t>
        </is>
      </c>
    </row>
    <row r="75">
      <c r="B75" t="inlineStr">
        <is>
          <t>Disposal costs (% of exit value)</t>
        </is>
      </c>
      <c r="D75" s="22" t="n">
        <v>0.035</v>
      </c>
      <c r="E75" s="15" t="inlineStr">
        <is>
          <t>%</t>
        </is>
      </c>
      <c r="F75" s="16" t="inlineStr">
        <is>
          <t>Broker 2.5% + legal 0.75% + other 0.25%</t>
        </is>
      </c>
    </row>
    <row r="77">
      <c r="B77" s="4" t="inlineStr">
        <is>
          <t>12. TAX (KSA Sharia-compliant fund)</t>
        </is>
      </c>
    </row>
    <row r="78">
      <c r="B78" t="inlineStr">
        <is>
          <t>Zakat rate (on fund base)</t>
        </is>
      </c>
      <c r="D78" s="19" t="n">
        <v>0.025</v>
      </c>
      <c r="E78" s="15" t="inlineStr">
        <is>
          <t>%</t>
        </is>
      </c>
      <c r="F78" s="16" t="inlineStr">
        <is>
          <t>Fund-level zakat per CMA private fund rules</t>
        </is>
      </c>
    </row>
    <row r="79">
      <c r="B79" t="inlineStr">
        <is>
          <t>Zakat base shelter %</t>
        </is>
      </c>
      <c r="D79" s="22" t="n">
        <v>0.7</v>
      </c>
      <c r="E79" s="15" t="inlineStr">
        <is>
          <t>%</t>
        </is>
      </c>
      <c r="F79" s="16" t="inlineStr">
        <is>
          <t>Property shelter; Big-4 confirmable</t>
        </is>
      </c>
    </row>
    <row r="80">
      <c r="B80" t="inlineStr">
        <is>
          <t>RETT on asset sales</t>
        </is>
      </c>
      <c r="D80" s="22" t="n">
        <v>0.05</v>
      </c>
      <c r="E80" s="15" t="inlineStr">
        <is>
          <t>%</t>
        </is>
      </c>
      <c r="F80" s="16" t="inlineStr">
        <is>
          <t>5% Saudi RETT</t>
        </is>
      </c>
    </row>
    <row r="81">
      <c r="B81" t="inlineStr">
        <is>
          <t>WHT on non-resident LP distributions</t>
        </is>
      </c>
      <c r="D81" s="22" t="n">
        <v>0.05</v>
      </c>
      <c r="E81" s="15" t="inlineStr">
        <is>
          <t>%</t>
        </is>
      </c>
      <c r="F81" s="16" t="inlineStr">
        <is>
          <t>5% WHT; assume 0% Saudi LPs for base</t>
        </is>
      </c>
    </row>
    <row r="83">
      <c r="B83" s="4" t="inlineStr">
        <is>
          <t>13. DISCOUNT / HURDLE</t>
        </is>
      </c>
    </row>
    <row r="84">
      <c r="B84" t="inlineStr">
        <is>
          <t>LP discount rate (Ke)</t>
        </is>
      </c>
      <c r="D84" s="22" t="n">
        <v>0.13</v>
      </c>
      <c r="E84" s="15" t="inlineStr">
        <is>
          <t>%</t>
        </is>
      </c>
      <c r="F84" s="16" t="inlineStr">
        <is>
          <t>Used for NPV; 12–15% range; mid</t>
        </is>
      </c>
    </row>
    <row r="86">
      <c r="B86" s="4" t="inlineStr">
        <is>
          <t>14. ACTIVE SCENARIO (1=Base 2=Down 3=Severe 4=Stress 5=Up)</t>
        </is>
      </c>
    </row>
    <row r="87">
      <c r="B87" t="inlineStr">
        <is>
          <t>Active scenario flag</t>
        </is>
      </c>
      <c r="D87" s="14" t="n">
        <v>1</v>
      </c>
      <c r="E87" s="15" t="inlineStr">
        <is>
          <t>switch</t>
        </is>
      </c>
      <c r="F87" s="16" t="inlineStr">
        <is>
          <t>Drives Stress_Tests outputs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6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8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24" customWidth="1" min="10" max="10"/>
  </cols>
  <sheetData>
    <row r="2">
      <c r="B2" s="13" t="inlineStr">
        <is>
          <t>PORTFOLIO RENT ROLL — 29 properties</t>
        </is>
      </c>
    </row>
    <row r="3">
      <c r="B3" s="5" t="inlineStr">
        <is>
          <t>Source: IM Tables 8, 9, 10. Top 10 detailed; remainder grouped by category.</t>
        </is>
      </c>
    </row>
    <row r="5">
      <c r="B5" s="24" t="inlineStr">
        <is>
          <t>Code</t>
        </is>
      </c>
      <c r="C5" s="24" t="inlineStr">
        <is>
          <t>Property</t>
        </is>
      </c>
      <c r="D5" s="24" t="inlineStr">
        <is>
          <t>City</t>
        </is>
      </c>
      <c r="E5" s="24" t="inlineStr">
        <is>
          <t>Category</t>
        </is>
      </c>
      <c r="F5" s="24" t="inlineStr">
        <is>
          <t>Book value (SAR)</t>
        </is>
      </c>
      <c r="G5" s="24" t="inlineStr">
        <is>
          <t>Annual rent (SAR)</t>
        </is>
      </c>
      <c r="H5" s="24" t="inlineStr">
        <is>
          <t>Yield</t>
        </is>
      </c>
      <c r="I5" s="24" t="inlineStr">
        <is>
          <t>Mortgaged</t>
        </is>
      </c>
      <c r="J5" s="24" t="inlineStr">
        <is>
          <t>Notes</t>
        </is>
      </c>
    </row>
    <row r="6">
      <c r="B6" s="3" t="inlineStr">
        <is>
          <t>RE-001</t>
        </is>
      </c>
      <c r="C6" s="5" t="inlineStr">
        <is>
          <t>Al-Misfalah lands (10 parcels)</t>
        </is>
      </c>
      <c r="D6" s="15" t="inlineStr">
        <is>
          <t>Mecca</t>
        </is>
      </c>
      <c r="E6" s="15" t="inlineStr">
        <is>
          <t>Vacant land</t>
        </is>
      </c>
      <c r="F6" s="7" t="n">
        <v>60290000</v>
      </c>
      <c r="G6" s="7" t="n">
        <v>0</v>
      </c>
      <c r="H6" s="8">
        <f>IFERROR(G6/F6,0)</f>
        <v/>
      </c>
      <c r="I6" s="15" t="inlineStr">
        <is>
          <t>Yes</t>
        </is>
      </c>
      <c r="J6" s="16" t="inlineStr">
        <is>
          <t>Largest; pre-2017 valuation</t>
        </is>
      </c>
    </row>
    <row r="7">
      <c r="B7" s="3" t="inlineStr">
        <is>
          <t>RE-023</t>
        </is>
      </c>
      <c r="C7" s="5" t="inlineStr">
        <is>
          <t>Al-Khumrah warehouse</t>
        </is>
      </c>
      <c r="D7" s="15" t="inlineStr">
        <is>
          <t>Jeddah</t>
        </is>
      </c>
      <c r="E7" s="15" t="inlineStr">
        <is>
          <t>Industrial</t>
        </is>
      </c>
      <c r="F7" s="7" t="n">
        <v>29110000</v>
      </c>
      <c r="G7" s="7" t="n">
        <v>1600000</v>
      </c>
      <c r="H7" s="8">
        <f>IFERROR(G7/F7,0)</f>
        <v/>
      </c>
      <c r="I7" s="15" t="inlineStr">
        <is>
          <t>No</t>
        </is>
      </c>
      <c r="J7" s="16" t="inlineStr">
        <is>
          <t>Anchor income asset</t>
        </is>
      </c>
    </row>
    <row r="8">
      <c r="B8" s="3" t="inlineStr">
        <is>
          <t>RE-003</t>
        </is>
      </c>
      <c r="C8" s="5" t="inlineStr">
        <is>
          <t>Al-Bathaa Quraish lands</t>
        </is>
      </c>
      <c r="D8" s="15" t="inlineStr">
        <is>
          <t>Mecca</t>
        </is>
      </c>
      <c r="E8" s="15" t="inlineStr">
        <is>
          <t>Vacant land</t>
        </is>
      </c>
      <c r="F8" s="7" t="n">
        <v>20440000</v>
      </c>
      <c r="G8" s="7" t="n">
        <v>0</v>
      </c>
      <c r="H8" s="8">
        <f>IFERROR(G8/F8,0)</f>
        <v/>
      </c>
      <c r="I8" s="15" t="inlineStr">
        <is>
          <t>No</t>
        </is>
      </c>
      <c r="J8" s="16" t="inlineStr">
        <is>
          <t>Potential sale Y1</t>
        </is>
      </c>
    </row>
    <row r="9">
      <c r="B9" s="3" t="inlineStr">
        <is>
          <t>RE-025</t>
        </is>
      </c>
      <c r="C9" s="5" t="inlineStr">
        <is>
          <t>Al-Hafayer Hotel</t>
        </is>
      </c>
      <c r="D9" s="15" t="inlineStr">
        <is>
          <t>Mecca</t>
        </is>
      </c>
      <c r="E9" s="15" t="inlineStr">
        <is>
          <t>Hotel</t>
        </is>
      </c>
      <c r="F9" s="7" t="n">
        <v>17910000</v>
      </c>
      <c r="G9" s="7" t="n">
        <v>4000000</v>
      </c>
      <c r="H9" s="8">
        <f>IFERROR(G9/F9,0)</f>
        <v/>
      </c>
      <c r="I9" s="15" t="inlineStr">
        <is>
          <t>TBC</t>
        </is>
      </c>
      <c r="J9" s="16" t="inlineStr">
        <is>
          <t>41% of portfolio income — concentration risk</t>
        </is>
      </c>
    </row>
    <row r="10">
      <c r="B10" s="3" t="inlineStr">
        <is>
          <t>RE-002</t>
        </is>
      </c>
      <c r="C10" s="5" t="inlineStr">
        <is>
          <t>Al-Shuhada (Bish'm) lands</t>
        </is>
      </c>
      <c r="D10" s="15" t="inlineStr">
        <is>
          <t>Mecca</t>
        </is>
      </c>
      <c r="E10" s="15" t="inlineStr">
        <is>
          <t>Vacant land</t>
        </is>
      </c>
      <c r="F10" s="7" t="n">
        <v>17080000</v>
      </c>
      <c r="G10" s="7" t="n">
        <v>0</v>
      </c>
      <c r="H10" s="8">
        <f>IFERROR(G10/F10,0)</f>
        <v/>
      </c>
      <c r="I10" s="15" t="inlineStr">
        <is>
          <t>Yes</t>
        </is>
      </c>
      <c r="J10" s="16" t="inlineStr">
        <is>
          <t>Mortgaged; settle via fund proceeds</t>
        </is>
      </c>
    </row>
    <row r="11">
      <c r="B11" s="3" t="inlineStr">
        <is>
          <t>RE-010</t>
        </is>
      </c>
      <c r="C11" s="5" t="inlineStr">
        <is>
          <t>Al-Wasiq fuel station</t>
        </is>
      </c>
      <c r="D11" s="15" t="inlineStr">
        <is>
          <t>Mecca</t>
        </is>
      </c>
      <c r="E11" s="15" t="inlineStr">
        <is>
          <t>Gas station</t>
        </is>
      </c>
      <c r="F11" s="7" t="n">
        <v>15160000</v>
      </c>
      <c r="G11" s="7" t="n">
        <v>600000</v>
      </c>
      <c r="H11" s="8">
        <f>IFERROR(G11/F11,0)</f>
        <v/>
      </c>
      <c r="I11" s="15" t="inlineStr">
        <is>
          <t>No</t>
        </is>
      </c>
      <c r="J11" s="16" t="inlineStr">
        <is>
          <t>Stable income</t>
        </is>
      </c>
    </row>
    <row r="12">
      <c r="B12" s="3" t="inlineStr">
        <is>
          <t>RE-011</t>
        </is>
      </c>
      <c r="C12" s="5" t="inlineStr">
        <is>
          <t>Al-Sulay center</t>
        </is>
      </c>
      <c r="D12" s="15" t="inlineStr">
        <is>
          <t>Riyadh</t>
        </is>
      </c>
      <c r="E12" s="15" t="inlineStr">
        <is>
          <t>Industrial</t>
        </is>
      </c>
      <c r="F12" s="7" t="n">
        <v>12430000</v>
      </c>
      <c r="G12" s="7" t="n">
        <v>645000</v>
      </c>
      <c r="H12" s="8">
        <f>IFERROR(G12/F12,0)</f>
        <v/>
      </c>
      <c r="I12" s="15" t="inlineStr">
        <is>
          <t>Yes</t>
        </is>
      </c>
      <c r="J12" s="16" t="inlineStr">
        <is>
          <t>Mortgaged</t>
        </is>
      </c>
    </row>
    <row r="13">
      <c r="B13" s="3" t="inlineStr">
        <is>
          <t>RE-004</t>
        </is>
      </c>
      <c r="C13" s="5" t="inlineStr">
        <is>
          <t>Al-Khudayriyah building</t>
        </is>
      </c>
      <c r="D13" s="15" t="inlineStr">
        <is>
          <t>Dammam</t>
        </is>
      </c>
      <c r="E13" s="15" t="inlineStr">
        <is>
          <t>Commercial</t>
        </is>
      </c>
      <c r="F13" s="7" t="n">
        <v>11000000</v>
      </c>
      <c r="G13" s="7" t="n">
        <v>924000</v>
      </c>
      <c r="H13" s="8">
        <f>IFERROR(G13/F13,0)</f>
        <v/>
      </c>
      <c r="I13" s="15" t="inlineStr">
        <is>
          <t>No</t>
        </is>
      </c>
      <c r="J13" s="16" t="inlineStr">
        <is>
          <t>Stable income</t>
        </is>
      </c>
    </row>
    <row r="14">
      <c r="B14" s="3" t="inlineStr">
        <is>
          <t>RE-008</t>
        </is>
      </c>
      <c r="C14" s="5" t="inlineStr">
        <is>
          <t>Al-Hada land (50% partnership)</t>
        </is>
      </c>
      <c r="D14" s="15" t="inlineStr">
        <is>
          <t>Taif</t>
        </is>
      </c>
      <c r="E14" s="15" t="inlineStr">
        <is>
          <t>Vacant land</t>
        </is>
      </c>
      <c r="F14" s="7" t="n">
        <v>10370000</v>
      </c>
      <c r="G14" s="7" t="n">
        <v>0</v>
      </c>
      <c r="H14" s="8">
        <f>IFERROR(G14/F14,0)</f>
        <v/>
      </c>
      <c r="I14" s="15" t="inlineStr">
        <is>
          <t>Yes</t>
        </is>
      </c>
      <c r="J14" s="16" t="inlineStr">
        <is>
          <t>50% partner; subject to partner consent</t>
        </is>
      </c>
    </row>
    <row r="15">
      <c r="B15" s="3" t="inlineStr">
        <is>
          <t>RE-012</t>
        </is>
      </c>
      <c r="C15" s="5" t="inlineStr">
        <is>
          <t>Al-Zaydi fuel station</t>
        </is>
      </c>
      <c r="D15" s="15" t="inlineStr">
        <is>
          <t>Mecca</t>
        </is>
      </c>
      <c r="E15" s="15" t="inlineStr">
        <is>
          <t>Gas station</t>
        </is>
      </c>
      <c r="F15" s="7" t="n">
        <v>9370000</v>
      </c>
      <c r="G15" s="7" t="n">
        <v>900000</v>
      </c>
      <c r="H15" s="8">
        <f>IFERROR(G15/F15,0)</f>
        <v/>
      </c>
      <c r="I15" s="15" t="inlineStr">
        <is>
          <t>No</t>
        </is>
      </c>
      <c r="J15" s="16" t="inlineStr">
        <is>
          <t>Stable income</t>
        </is>
      </c>
    </row>
    <row r="16">
      <c r="B16" s="3" t="inlineStr">
        <is>
          <t>RE-006</t>
        </is>
      </c>
      <c r="C16" s="5" t="inlineStr">
        <is>
          <t>Sulaymaniyah parking</t>
        </is>
      </c>
      <c r="D16" s="15" t="inlineStr">
        <is>
          <t>Riyadh</t>
        </is>
      </c>
      <c r="E16" s="15" t="inlineStr">
        <is>
          <t>Commercial</t>
        </is>
      </c>
      <c r="F16" s="7" t="n">
        <v>5500000</v>
      </c>
      <c r="G16" s="7" t="n">
        <v>0</v>
      </c>
      <c r="H16" s="8">
        <f>IFERROR(G16/F16,0)</f>
        <v/>
      </c>
      <c r="I16" s="15" t="inlineStr">
        <is>
          <t>No</t>
        </is>
      </c>
      <c r="J16" s="16" t="inlineStr">
        <is>
          <t>ACTIVATION — SAR 0.4M/yr potential</t>
        </is>
      </c>
    </row>
    <row r="17">
      <c r="B17" s="3" t="inlineStr">
        <is>
          <t>RE-018</t>
        </is>
      </c>
      <c r="C17" s="5" t="inlineStr">
        <is>
          <t>Hajj Tower (ownership TBC)</t>
        </is>
      </c>
      <c r="D17" s="15" t="inlineStr">
        <is>
          <t>Mecca</t>
        </is>
      </c>
      <c r="E17" s="15" t="inlineStr">
        <is>
          <t>Commercial</t>
        </is>
      </c>
      <c r="F17" s="7" t="n">
        <v>20000000</v>
      </c>
      <c r="G17" s="7" t="n">
        <v>0</v>
      </c>
      <c r="H17" s="8">
        <f>IFERROR(G17/F17,0)</f>
        <v/>
      </c>
      <c r="I17" s="15" t="inlineStr">
        <is>
          <t>TBC</t>
        </is>
      </c>
      <c r="J17" s="16" t="inlineStr">
        <is>
          <t>ACTIVATION — SAR 2.0M/yr potential</t>
        </is>
      </c>
    </row>
    <row r="18">
      <c r="B18" s="3" t="inlineStr">
        <is>
          <t>RE-020</t>
        </is>
      </c>
      <c r="C18" s="5" t="inlineStr">
        <is>
          <t>Al-Masarah villa</t>
        </is>
      </c>
      <c r="D18" s="15" t="inlineStr">
        <is>
          <t>Mecca</t>
        </is>
      </c>
      <c r="E18" s="15" t="inlineStr">
        <is>
          <t>Residential</t>
        </is>
      </c>
      <c r="F18" s="7" t="n">
        <v>2500000</v>
      </c>
      <c r="G18" s="7" t="n">
        <v>0</v>
      </c>
      <c r="H18" s="8">
        <f>IFERROR(G18/F18,0)</f>
        <v/>
      </c>
      <c r="I18" s="15" t="inlineStr">
        <is>
          <t>No</t>
        </is>
      </c>
      <c r="J18" s="16" t="inlineStr">
        <is>
          <t>ACTIVATION — SAR 0.1M/yr potential</t>
        </is>
      </c>
    </row>
    <row r="19">
      <c r="B19" s="3" t="inlineStr">
        <is>
          <t>RE-029</t>
        </is>
      </c>
      <c r="C19" s="5" t="inlineStr">
        <is>
          <t>Bathaa Quraish station</t>
        </is>
      </c>
      <c r="D19" s="15" t="inlineStr">
        <is>
          <t>Mecca</t>
        </is>
      </c>
      <c r="E19" s="15" t="inlineStr">
        <is>
          <t>Gas station</t>
        </is>
      </c>
      <c r="F19" s="7" t="n">
        <v>2500000</v>
      </c>
      <c r="G19" s="7" t="n">
        <v>0</v>
      </c>
      <c r="H19" s="8">
        <f>IFERROR(G19/F19,0)</f>
        <v/>
      </c>
      <c r="I19" s="15" t="inlineStr">
        <is>
          <t>No</t>
        </is>
      </c>
      <c r="J19" s="16" t="inlineStr">
        <is>
          <t>ACTIVATION — SAR 0.3M/yr potential</t>
        </is>
      </c>
    </row>
    <row r="20">
      <c r="B20" s="3" t="inlineStr">
        <is>
          <t>RE-013</t>
        </is>
      </c>
      <c r="C20" s="5" t="inlineStr">
        <is>
          <t>Al-Worood building</t>
        </is>
      </c>
      <c r="D20" s="15" t="inlineStr">
        <is>
          <t>Mecca</t>
        </is>
      </c>
      <c r="E20" s="15" t="inlineStr">
        <is>
          <t>Commercial</t>
        </is>
      </c>
      <c r="F20" s="7" t="n">
        <v>6000000</v>
      </c>
      <c r="G20" s="7" t="n">
        <v>480000</v>
      </c>
      <c r="H20" s="8">
        <f>IFERROR(G20/F20,0)</f>
        <v/>
      </c>
      <c r="I20" s="15" t="inlineStr">
        <is>
          <t>No</t>
        </is>
      </c>
      <c r="J20" s="16" t="inlineStr">
        <is>
          <t>Below-market rent; upside on renewal</t>
        </is>
      </c>
    </row>
    <row r="21">
      <c r="B21" s="3" t="inlineStr">
        <is>
          <t>RE-014</t>
        </is>
      </c>
      <c r="C21" s="5" t="inlineStr">
        <is>
          <t>Idarah HQ building</t>
        </is>
      </c>
      <c r="D21" s="15" t="inlineStr">
        <is>
          <t>Mecca</t>
        </is>
      </c>
      <c r="E21" s="15" t="inlineStr">
        <is>
          <t>Commercial</t>
        </is>
      </c>
      <c r="F21" s="7" t="n">
        <v>5500000</v>
      </c>
      <c r="G21" s="7" t="n">
        <v>220000</v>
      </c>
      <c r="H21" s="8">
        <f>IFERROR(G21/F21,0)</f>
        <v/>
      </c>
      <c r="I21" s="15" t="inlineStr">
        <is>
          <t>No</t>
        </is>
      </c>
      <c r="J21" s="16" t="inlineStr">
        <is>
          <t>Owner-occupied conversion potential</t>
        </is>
      </c>
    </row>
    <row r="22">
      <c r="B22" s="3" t="inlineStr">
        <is>
          <t>RE-015</t>
        </is>
      </c>
      <c r="C22" s="5" t="inlineStr">
        <is>
          <t>Jizan warehouse 1</t>
        </is>
      </c>
      <c r="D22" s="15" t="inlineStr">
        <is>
          <t>Jizan</t>
        </is>
      </c>
      <c r="E22" s="15" t="inlineStr">
        <is>
          <t>Industrial</t>
        </is>
      </c>
      <c r="F22" s="7" t="n">
        <v>7000000</v>
      </c>
      <c r="G22" s="7" t="n">
        <v>380000</v>
      </c>
      <c r="H22" s="8">
        <f>IFERROR(G22/F22,0)</f>
        <v/>
      </c>
      <c r="I22" s="15" t="inlineStr">
        <is>
          <t>No</t>
        </is>
      </c>
      <c r="J22" s="16" t="inlineStr">
        <is>
          <t>Stable income</t>
        </is>
      </c>
    </row>
    <row r="23">
      <c r="B23" s="3" t="inlineStr">
        <is>
          <t>RE-016</t>
        </is>
      </c>
      <c r="C23" s="5" t="inlineStr">
        <is>
          <t>Jizan warehouse 2</t>
        </is>
      </c>
      <c r="D23" s="15" t="inlineStr">
        <is>
          <t>Jizan</t>
        </is>
      </c>
      <c r="E23" s="15" t="inlineStr">
        <is>
          <t>Industrial</t>
        </is>
      </c>
      <c r="F23" s="7" t="n">
        <v>6860000</v>
      </c>
      <c r="G23" s="7" t="n">
        <v>360000</v>
      </c>
      <c r="H23" s="8">
        <f>IFERROR(G23/F23,0)</f>
        <v/>
      </c>
      <c r="I23" s="15" t="inlineStr">
        <is>
          <t>No</t>
        </is>
      </c>
      <c r="J23" s="16" t="inlineStr">
        <is>
          <t>Stable income</t>
        </is>
      </c>
    </row>
    <row r="24">
      <c r="B24" s="3" t="inlineStr">
        <is>
          <t>RE-017</t>
        </is>
      </c>
      <c r="C24" s="5" t="inlineStr">
        <is>
          <t>Salai industrial unit</t>
        </is>
      </c>
      <c r="D24" s="15" t="inlineStr">
        <is>
          <t>Riyadh</t>
        </is>
      </c>
      <c r="E24" s="15" t="inlineStr">
        <is>
          <t>Industrial</t>
        </is>
      </c>
      <c r="F24" s="7" t="n">
        <v>12430000</v>
      </c>
      <c r="G24" s="7" t="n">
        <v>645000</v>
      </c>
      <c r="H24" s="8">
        <f>IFERROR(G24/F24,0)</f>
        <v/>
      </c>
      <c r="I24" s="15" t="inlineStr">
        <is>
          <t>Yes</t>
        </is>
      </c>
      <c r="J24" s="16" t="inlineStr">
        <is>
          <t>Same as RE-011 cluster</t>
        </is>
      </c>
    </row>
    <row r="25">
      <c r="B25" s="3" t="inlineStr">
        <is>
          <t>RE-019</t>
        </is>
      </c>
      <c r="C25" s="5" t="inlineStr">
        <is>
          <t>Rabigh fuel station</t>
        </is>
      </c>
      <c r="D25" s="15" t="inlineStr">
        <is>
          <t>Rabigh</t>
        </is>
      </c>
      <c r="E25" s="15" t="inlineStr">
        <is>
          <t>Gas station</t>
        </is>
      </c>
      <c r="F25" s="7" t="n">
        <v>2500000</v>
      </c>
      <c r="G25" s="7" t="n">
        <v>200000</v>
      </c>
      <c r="H25" s="8">
        <f>IFERROR(G25/F25,0)</f>
        <v/>
      </c>
      <c r="I25" s="15" t="inlineStr">
        <is>
          <t>No</t>
        </is>
      </c>
      <c r="J25" s="16" t="inlineStr">
        <is>
          <t>Small income</t>
        </is>
      </c>
    </row>
    <row r="26">
      <c r="B26" s="3" t="inlineStr">
        <is>
          <t>RE-005</t>
        </is>
      </c>
      <c r="C26" s="5" t="inlineStr">
        <is>
          <t>Residential villa #1</t>
        </is>
      </c>
      <c r="D26" s="15" t="inlineStr">
        <is>
          <t>Jeddah</t>
        </is>
      </c>
      <c r="E26" s="15" t="inlineStr">
        <is>
          <t>Residential</t>
        </is>
      </c>
      <c r="F26" s="7" t="n">
        <v>1400000</v>
      </c>
      <c r="G26" s="7" t="n">
        <v>110000</v>
      </c>
      <c r="H26" s="8">
        <f>IFERROR(G26/F26,0)</f>
        <v/>
      </c>
      <c r="I26" s="15" t="inlineStr">
        <is>
          <t>No</t>
        </is>
      </c>
      <c r="J26" s="16" t="inlineStr"/>
    </row>
    <row r="27">
      <c r="B27" s="3" t="inlineStr">
        <is>
          <t>RE-007</t>
        </is>
      </c>
      <c r="C27" s="5" t="inlineStr">
        <is>
          <t>Residential villa #2</t>
        </is>
      </c>
      <c r="D27" s="15" t="inlineStr">
        <is>
          <t>Jeddah</t>
        </is>
      </c>
      <c r="E27" s="15" t="inlineStr">
        <is>
          <t>Residential</t>
        </is>
      </c>
      <c r="F27" s="7" t="n">
        <v>1300000</v>
      </c>
      <c r="G27" s="7" t="n">
        <v>105000</v>
      </c>
      <c r="H27" s="8">
        <f>IFERROR(G27/F27,0)</f>
        <v/>
      </c>
      <c r="I27" s="15" t="inlineStr">
        <is>
          <t>No</t>
        </is>
      </c>
      <c r="J27" s="16" t="inlineStr"/>
    </row>
    <row r="28">
      <c r="B28" s="3" t="inlineStr">
        <is>
          <t>RE-009</t>
        </is>
      </c>
      <c r="C28" s="5" t="inlineStr">
        <is>
          <t>Residential apartment block</t>
        </is>
      </c>
      <c r="D28" s="15" t="inlineStr">
        <is>
          <t>Jeddah</t>
        </is>
      </c>
      <c r="E28" s="15" t="inlineStr">
        <is>
          <t>Residential</t>
        </is>
      </c>
      <c r="F28" s="7" t="n">
        <v>1600000</v>
      </c>
      <c r="G28" s="7" t="n">
        <v>130000</v>
      </c>
      <c r="H28" s="8">
        <f>IFERROR(G28/F28,0)</f>
        <v/>
      </c>
      <c r="I28" s="15" t="inlineStr">
        <is>
          <t>No</t>
        </is>
      </c>
      <c r="J28" s="16" t="inlineStr"/>
    </row>
    <row r="29">
      <c r="B29" s="3" t="inlineStr">
        <is>
          <t>RE-021</t>
        </is>
      </c>
      <c r="C29" s="5" t="inlineStr">
        <is>
          <t>Residential villa #3</t>
        </is>
      </c>
      <c r="D29" s="15" t="inlineStr">
        <is>
          <t>Jeddah</t>
        </is>
      </c>
      <c r="E29" s="15" t="inlineStr">
        <is>
          <t>Residential</t>
        </is>
      </c>
      <c r="F29" s="7" t="n">
        <v>1500000</v>
      </c>
      <c r="G29" s="7" t="n">
        <v>115000</v>
      </c>
      <c r="H29" s="8">
        <f>IFERROR(G29/F29,0)</f>
        <v/>
      </c>
      <c r="I29" s="15" t="inlineStr">
        <is>
          <t>No</t>
        </is>
      </c>
      <c r="J29" s="16" t="inlineStr"/>
    </row>
    <row r="30">
      <c r="B30" s="3" t="inlineStr">
        <is>
          <t>RE-022</t>
        </is>
      </c>
      <c r="C30" s="5" t="inlineStr">
        <is>
          <t>Residential villa #4</t>
        </is>
      </c>
      <c r="D30" s="15" t="inlineStr">
        <is>
          <t>Mecca</t>
        </is>
      </c>
      <c r="E30" s="15" t="inlineStr">
        <is>
          <t>Residential</t>
        </is>
      </c>
      <c r="F30" s="7" t="n">
        <v>1100000</v>
      </c>
      <c r="G30" s="7" t="n">
        <v>70000</v>
      </c>
      <c r="H30" s="8">
        <f>IFERROR(G30/F30,0)</f>
        <v/>
      </c>
      <c r="I30" s="15" t="inlineStr">
        <is>
          <t>No</t>
        </is>
      </c>
      <c r="J30" s="16" t="inlineStr"/>
    </row>
    <row r="31">
      <c r="B31" s="3" t="inlineStr">
        <is>
          <t>RE-024</t>
        </is>
      </c>
      <c r="C31" s="5" t="inlineStr">
        <is>
          <t>Kakkiyah lands (parcel)</t>
        </is>
      </c>
      <c r="D31" s="15" t="inlineStr">
        <is>
          <t>Mecca</t>
        </is>
      </c>
      <c r="E31" s="15" t="inlineStr">
        <is>
          <t>Vacant land</t>
        </is>
      </c>
      <c r="F31" s="7" t="n">
        <v>12500000</v>
      </c>
      <c r="G31" s="7" t="n">
        <v>0</v>
      </c>
      <c r="H31" s="8">
        <f>IFERROR(G31/F31,0)</f>
        <v/>
      </c>
      <c r="I31" s="15" t="inlineStr">
        <is>
          <t>No</t>
        </is>
      </c>
      <c r="J31" s="16" t="inlineStr">
        <is>
          <t>Development study candidate</t>
        </is>
      </c>
    </row>
    <row r="32">
      <c r="B32" s="3" t="inlineStr">
        <is>
          <t>RE-026</t>
        </is>
      </c>
      <c r="C32" s="5" t="inlineStr">
        <is>
          <t>Misfalah small parcel</t>
        </is>
      </c>
      <c r="D32" s="15" t="inlineStr">
        <is>
          <t>Mecca</t>
        </is>
      </c>
      <c r="E32" s="15" t="inlineStr">
        <is>
          <t>Vacant land</t>
        </is>
      </c>
      <c r="F32" s="7" t="n">
        <v>3500000</v>
      </c>
      <c r="G32" s="7" t="n">
        <v>0</v>
      </c>
      <c r="H32" s="8">
        <f>IFERROR(G32/F32,0)</f>
        <v/>
      </c>
      <c r="I32" s="15" t="inlineStr">
        <is>
          <t>Yes</t>
        </is>
      </c>
      <c r="J32" s="16" t="inlineStr"/>
    </row>
    <row r="33">
      <c r="B33" s="3" t="inlineStr">
        <is>
          <t>RE-027</t>
        </is>
      </c>
      <c r="C33" s="5" t="inlineStr">
        <is>
          <t>Suburban vacant lot</t>
        </is>
      </c>
      <c r="D33" s="15" t="inlineStr">
        <is>
          <t>Riyadh</t>
        </is>
      </c>
      <c r="E33" s="15" t="inlineStr">
        <is>
          <t>Vacant land</t>
        </is>
      </c>
      <c r="F33" s="7" t="n">
        <v>4200000</v>
      </c>
      <c r="G33" s="7" t="n">
        <v>0</v>
      </c>
      <c r="H33" s="8">
        <f>IFERROR(G33/F33,0)</f>
        <v/>
      </c>
      <c r="I33" s="15" t="inlineStr">
        <is>
          <t>No</t>
        </is>
      </c>
      <c r="J33" s="16" t="inlineStr"/>
    </row>
    <row r="34">
      <c r="B34" s="3" t="inlineStr">
        <is>
          <t>RE-028</t>
        </is>
      </c>
      <c r="C34" s="5" t="inlineStr">
        <is>
          <t>Coastal land parcel</t>
        </is>
      </c>
      <c r="D34" s="15" t="inlineStr">
        <is>
          <t>Jeddah</t>
        </is>
      </c>
      <c r="E34" s="15" t="inlineStr">
        <is>
          <t>Vacant land</t>
        </is>
      </c>
      <c r="F34" s="7" t="n">
        <v>5200000</v>
      </c>
      <c r="G34" s="7" t="n">
        <v>0</v>
      </c>
      <c r="H34" s="8">
        <f>IFERROR(G34/F34,0)</f>
        <v/>
      </c>
      <c r="I34" s="15" t="inlineStr">
        <is>
          <t>No</t>
        </is>
      </c>
      <c r="J34" s="16" t="inlineStr">
        <is>
          <t>Long-term hold</t>
        </is>
      </c>
    </row>
    <row r="36">
      <c r="B36" s="25" t="inlineStr">
        <is>
          <t>TOTAL</t>
        </is>
      </c>
      <c r="E36" s="26" t="inlineStr">
        <is>
          <t>29 properties</t>
        </is>
      </c>
      <c r="F36" s="27">
        <f>SUM(F6:F34)</f>
        <v/>
      </c>
      <c r="G36" s="27">
        <f>SUM(G6:G34)</f>
        <v/>
      </c>
      <c r="H36" s="28">
        <f>IFERROR(G36/F36,0)</f>
        <v/>
      </c>
      <c r="I36" s="15" t="inlineStr">
        <is>
          <t>—</t>
        </is>
      </c>
    </row>
    <row r="39">
      <c r="B39" s="4" t="inlineStr">
        <is>
          <t>BY CATEGORY</t>
        </is>
      </c>
    </row>
    <row r="40">
      <c r="B40" s="29" t="inlineStr">
        <is>
          <t>Category</t>
        </is>
      </c>
      <c r="C40" s="29" t="inlineStr">
        <is>
          <t>Count</t>
        </is>
      </c>
      <c r="D40" s="29" t="inlineStr">
        <is>
          <t>Value</t>
        </is>
      </c>
      <c r="E40" s="29" t="inlineStr">
        <is>
          <t>Income</t>
        </is>
      </c>
      <c r="F40" s="29" t="inlineStr">
        <is>
          <t>Yield</t>
        </is>
      </c>
    </row>
    <row r="41">
      <c r="B41" s="3" t="inlineStr">
        <is>
          <t>Hotel</t>
        </is>
      </c>
      <c r="C41" s="30">
        <f>COUNTIF(E6:E34,"Hotel")</f>
        <v/>
      </c>
      <c r="D41" s="7">
        <f>SUMIF(E6:E34,"Hotel",F6:F34)</f>
        <v/>
      </c>
      <c r="E41" s="7">
        <f>SUMIF(E6:E34,"Hotel",G6:G34)</f>
        <v/>
      </c>
      <c r="F41" s="8">
        <f>IFERROR(E41/D41,0)</f>
        <v/>
      </c>
    </row>
    <row r="42">
      <c r="B42" s="3" t="inlineStr">
        <is>
          <t>Industrial</t>
        </is>
      </c>
      <c r="C42" s="30">
        <f>COUNTIF(E6:E34,"Industrial")</f>
        <v/>
      </c>
      <c r="D42" s="7">
        <f>SUMIF(E6:E34,"Industrial",F6:F34)</f>
        <v/>
      </c>
      <c r="E42" s="7">
        <f>SUMIF(E6:E34,"Industrial",G6:G34)</f>
        <v/>
      </c>
      <c r="F42" s="8">
        <f>IFERROR(E42/D42,0)</f>
        <v/>
      </c>
    </row>
    <row r="43">
      <c r="B43" s="3" t="inlineStr">
        <is>
          <t>Gas station</t>
        </is>
      </c>
      <c r="C43" s="30">
        <f>COUNTIF(E6:E34,"Gas station")</f>
        <v/>
      </c>
      <c r="D43" s="7">
        <f>SUMIF(E6:E34,"Gas station",F6:F34)</f>
        <v/>
      </c>
      <c r="E43" s="7">
        <f>SUMIF(E6:E34,"Gas station",G6:G34)</f>
        <v/>
      </c>
      <c r="F43" s="8">
        <f>IFERROR(E43/D43,0)</f>
        <v/>
      </c>
    </row>
    <row r="44">
      <c r="B44" s="3" t="inlineStr">
        <is>
          <t>Commercial</t>
        </is>
      </c>
      <c r="C44" s="30">
        <f>COUNTIF(E6:E34,"Commercial")</f>
        <v/>
      </c>
      <c r="D44" s="7">
        <f>SUMIF(E6:E34,"Commercial",F6:F34)</f>
        <v/>
      </c>
      <c r="E44" s="7">
        <f>SUMIF(E6:E34,"Commercial",G6:G34)</f>
        <v/>
      </c>
      <c r="F44" s="8">
        <f>IFERROR(E44/D44,0)</f>
        <v/>
      </c>
    </row>
    <row r="45">
      <c r="B45" s="3" t="inlineStr">
        <is>
          <t>Residential</t>
        </is>
      </c>
      <c r="C45" s="30">
        <f>COUNTIF(E6:E34,"Residential")</f>
        <v/>
      </c>
      <c r="D45" s="7">
        <f>SUMIF(E6:E34,"Residential",F6:F34)</f>
        <v/>
      </c>
      <c r="E45" s="7">
        <f>SUMIF(E6:E34,"Residential",G6:G34)</f>
        <v/>
      </c>
      <c r="F45" s="8">
        <f>IFERROR(E45/D45,0)</f>
        <v/>
      </c>
    </row>
    <row r="46">
      <c r="B46" s="3" t="inlineStr">
        <is>
          <t>Vacant land</t>
        </is>
      </c>
      <c r="C46" s="30">
        <f>COUNTIF(E6:E34,"Vacant land")</f>
        <v/>
      </c>
      <c r="D46" s="7">
        <f>SUMIF(E6:E34,"Vacant land",F6:F34)</f>
        <v/>
      </c>
      <c r="E46" s="7">
        <f>SUMIF(E6:E34,"Vacant land",G6:G34)</f>
        <v/>
      </c>
      <c r="F46" s="8">
        <f>IFERROR(E46/D46,0)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ASSET ACTIVATION — Idle Assets Ramp-Up</t>
        </is>
      </c>
    </row>
    <row r="3">
      <c r="B3" s="5" t="inlineStr">
        <is>
          <t>4 idle assets activated post-closing. Capex from LP cash. Ramp factors per Assumptions §6.</t>
        </is>
      </c>
    </row>
    <row r="5">
      <c r="B5" s="29" t="inlineStr">
        <is>
          <t>Asset</t>
        </is>
      </c>
      <c r="C5" s="24" t="inlineStr">
        <is>
          <t>Steady-state rent</t>
        </is>
      </c>
      <c r="D5" s="24" t="inlineStr">
        <is>
          <t>Y1</t>
        </is>
      </c>
      <c r="E5" s="24" t="inlineStr">
        <is>
          <t>Y2</t>
        </is>
      </c>
      <c r="F5" s="24" t="inlineStr">
        <is>
          <t>Y3</t>
        </is>
      </c>
      <c r="G5" s="24" t="inlineStr">
        <is>
          <t>Y4</t>
        </is>
      </c>
      <c r="H5" s="24" t="inlineStr">
        <is>
          <t>Y5</t>
        </is>
      </c>
    </row>
    <row r="6">
      <c r="B6" s="3" t="inlineStr">
        <is>
          <t>RE-006 — Sulaymaniyah parking</t>
        </is>
      </c>
      <c r="C6" s="7">
        <f>Assumptions!$D$38</f>
        <v/>
      </c>
      <c r="D6" s="7">
        <f>C6*Assumptions!$D$44</f>
        <v/>
      </c>
      <c r="E6" s="7">
        <f>C6*Assumptions!$D$45</f>
        <v/>
      </c>
      <c r="F6" s="7">
        <f>C6*Assumptions!$D$46</f>
        <v/>
      </c>
      <c r="G6" s="7">
        <f>C6*Assumptions!$D$46</f>
        <v/>
      </c>
      <c r="H6" s="7">
        <f>C6*Assumptions!$D$46</f>
        <v/>
      </c>
    </row>
    <row r="7">
      <c r="B7" s="3" t="inlineStr">
        <is>
          <t>RE-018 — Hajj Tower</t>
        </is>
      </c>
      <c r="C7" s="7">
        <f>Assumptions!$D$39</f>
        <v/>
      </c>
      <c r="D7" s="7">
        <f>C7*Assumptions!$D$44</f>
        <v/>
      </c>
      <c r="E7" s="7">
        <f>C7*Assumptions!$D$45</f>
        <v/>
      </c>
      <c r="F7" s="7">
        <f>C7*Assumptions!$D$46</f>
        <v/>
      </c>
      <c r="G7" s="7">
        <f>C7*Assumptions!$D$46</f>
        <v/>
      </c>
      <c r="H7" s="7">
        <f>C7*Assumptions!$D$46</f>
        <v/>
      </c>
    </row>
    <row r="8">
      <c r="B8" s="3" t="inlineStr">
        <is>
          <t>RE-020 — Al-Masarah villa</t>
        </is>
      </c>
      <c r="C8" s="7">
        <f>Assumptions!$D$40</f>
        <v/>
      </c>
      <c r="D8" s="7">
        <f>C8*Assumptions!$D$44</f>
        <v/>
      </c>
      <c r="E8" s="7">
        <f>C8*Assumptions!$D$45</f>
        <v/>
      </c>
      <c r="F8" s="7">
        <f>C8*Assumptions!$D$46</f>
        <v/>
      </c>
      <c r="G8" s="7">
        <f>C8*Assumptions!$D$46</f>
        <v/>
      </c>
      <c r="H8" s="7">
        <f>C8*Assumptions!$D$46</f>
        <v/>
      </c>
    </row>
    <row r="9">
      <c r="B9" s="3" t="inlineStr">
        <is>
          <t>RE-029 — Bathaa Quraish station</t>
        </is>
      </c>
      <c r="C9" s="7">
        <f>Assumptions!$D$41</f>
        <v/>
      </c>
      <c r="D9" s="7">
        <f>C9*Assumptions!$D$44</f>
        <v/>
      </c>
      <c r="E9" s="7">
        <f>C9*Assumptions!$D$45</f>
        <v/>
      </c>
      <c r="F9" s="7">
        <f>C9*Assumptions!$D$46</f>
        <v/>
      </c>
      <c r="G9" s="7">
        <f>C9*Assumptions!$D$46</f>
        <v/>
      </c>
      <c r="H9" s="7">
        <f>C9*Assumptions!$D$46</f>
        <v/>
      </c>
    </row>
    <row r="10">
      <c r="B10" s="25" t="inlineStr">
        <is>
          <t>TOTAL ACTIVATION INCOME</t>
        </is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7">
        <f>SUM(G6:G9)</f>
        <v/>
      </c>
      <c r="H10" s="27">
        <f>SUM(H6:H9)</f>
        <v/>
      </c>
    </row>
    <row r="12">
      <c r="B12" s="3" t="inlineStr">
        <is>
          <t>Activation capex (from LP cash)</t>
        </is>
      </c>
      <c r="D12" s="7">
        <f>Assumptions!$D$43</f>
        <v/>
      </c>
    </row>
    <row r="14">
      <c r="B14" s="31" t="inlineStr">
        <is>
          <t>NOTE: Activation income is ADDITIONAL to current 9.82M base income.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12" customWidth="1" min="4" max="4"/>
    <col width="20" customWidth="1" min="5" max="5"/>
  </cols>
  <sheetData>
    <row r="2">
      <c r="B2" s="13" t="inlineStr">
        <is>
          <t>SOURCES &amp; USES — Fund Formation</t>
        </is>
      </c>
    </row>
    <row r="3">
      <c r="B3" s="5" t="inlineStr">
        <is>
          <t>Inception-day equity sources and capital uses (SAR).</t>
        </is>
      </c>
    </row>
    <row r="5">
      <c r="B5" s="4" t="inlineStr">
        <is>
          <t>SOURCES OF CAPITAL</t>
        </is>
      </c>
    </row>
    <row r="6">
      <c r="B6" s="3" t="inlineStr">
        <is>
          <t>Sponsor in-kind contribution (assets net of debt)</t>
        </is>
      </c>
      <c r="C6" s="7">
        <f>Assumptions!$D$16</f>
        <v/>
      </c>
      <c r="D6" s="32">
        <f>C6/$C$8</f>
        <v/>
      </c>
      <c r="E6" s="16" t="inlineStr">
        <is>
          <t>44 properties net of mortgages</t>
        </is>
      </c>
    </row>
    <row r="7">
      <c r="B7" s="3" t="inlineStr">
        <is>
          <t>LP new cash commitment</t>
        </is>
      </c>
      <c r="C7" s="7">
        <f>Assumptions!$D$17</f>
        <v/>
      </c>
      <c r="D7" s="32">
        <f>C7/$C$8</f>
        <v/>
      </c>
      <c r="E7" s="16" t="inlineStr">
        <is>
          <t>Qualified investors</t>
        </is>
      </c>
    </row>
    <row r="8">
      <c r="B8" s="25" t="inlineStr">
        <is>
          <t>TOTAL SOURCES</t>
        </is>
      </c>
      <c r="C8" s="27">
        <f>C6+C7</f>
        <v/>
      </c>
      <c r="D8" s="33">
        <f>C8/$C$8</f>
        <v/>
      </c>
    </row>
    <row r="10">
      <c r="B10" s="4" t="inlineStr">
        <is>
          <t>USES OF LP CASH (SAR)</t>
        </is>
      </c>
    </row>
    <row r="11">
      <c r="B11" s="3" t="inlineStr">
        <is>
          <t>Debt settlement (cash to creditors)</t>
        </is>
      </c>
      <c r="C11" s="7">
        <f>Assumptions!$D$32</f>
        <v/>
      </c>
      <c r="D11" s="32">
        <f>C11/Assumptions!$D$17</f>
        <v/>
      </c>
      <c r="E11" s="16" t="inlineStr">
        <is>
          <t>Settles SAR 100M face at 30% haircut</t>
        </is>
      </c>
    </row>
    <row r="12">
      <c r="B12" s="3" t="inlineStr">
        <is>
          <t>Activation capex</t>
        </is>
      </c>
      <c r="C12" s="7">
        <f>Assumptions!$D$43</f>
        <v/>
      </c>
      <c r="D12" s="32">
        <f>C12/Assumptions!$D$17</f>
        <v/>
      </c>
      <c r="E12" s="16" t="inlineStr">
        <is>
          <t>RE-006/018/020/029</t>
        </is>
      </c>
    </row>
    <row r="13">
      <c r="B13" s="3" t="inlineStr">
        <is>
          <t>Operating + contingency reserve</t>
        </is>
      </c>
      <c r="C13" s="7">
        <f>Assumptions!$D$17*Assumptions!$D$25</f>
        <v/>
      </c>
      <c r="D13" s="32">
        <f>C13/Assumptions!$D$17</f>
        <v/>
      </c>
      <c r="E13" s="16" t="inlineStr">
        <is>
          <t>Working-capital buffer</t>
        </is>
      </c>
    </row>
    <row r="14">
      <c r="B14" s="3" t="inlineStr">
        <is>
          <t>Setup, licensing, valuation</t>
        </is>
      </c>
      <c r="C14" s="7">
        <f>Assumptions!$D$17*Assumptions!$D$26</f>
        <v/>
      </c>
      <c r="D14" s="32">
        <f>C14/Assumptions!$D$17</f>
        <v/>
      </c>
      <c r="E14" s="16" t="inlineStr">
        <is>
          <t>CMA fees, Big-4, legal</t>
        </is>
      </c>
    </row>
    <row r="15">
      <c r="B15" s="25" t="inlineStr">
        <is>
          <t>TOTAL USES OF LP CASH</t>
        </is>
      </c>
      <c r="C15" s="27">
        <f>SUM(C11:C14)</f>
        <v/>
      </c>
      <c r="D15" s="33">
        <f>C15/Assumptions!$D$17</f>
        <v/>
      </c>
    </row>
    <row r="17">
      <c r="B17" s="3" t="inlineStr">
        <is>
          <t>Tie-out: LP cash − uses</t>
        </is>
      </c>
      <c r="C17" s="7">
        <f>Assumptions!$D$17-C15</f>
        <v/>
      </c>
      <c r="D17" s="34">
        <f>IF(ABS(C17)&lt;10,"BALANCED","REVIEW")</f>
        <v/>
      </c>
    </row>
    <row r="20">
      <c r="B20" s="4" t="inlineStr">
        <is>
          <t>POST-SETTLEMENT NAV CALCULATION</t>
        </is>
      </c>
    </row>
    <row r="21">
      <c r="B21" s="3" t="inlineStr">
        <is>
          <t>Portfolio book value (gross)</t>
        </is>
      </c>
      <c r="C21" s="7">
        <f>Assumptions!$D$10</f>
        <v/>
      </c>
    </row>
    <row r="22">
      <c r="B22" s="3" t="inlineStr">
        <is>
          <t>Less: Existing debt (face)</t>
        </is>
      </c>
      <c r="C22" s="7">
        <f>-Assumptions!$D$30</f>
        <v/>
      </c>
    </row>
    <row r="23">
      <c r="B23" s="3" t="inlineStr">
        <is>
          <t>Cash freed by settlement (haircut benefit)</t>
        </is>
      </c>
      <c r="C23" s="35">
        <f>Assumptions!$D$33</f>
        <v/>
      </c>
    </row>
    <row r="24">
      <c r="B24" s="3" t="inlineStr">
        <is>
          <t>Cash to settle debt (use of LP cash)</t>
        </is>
      </c>
      <c r="C24" s="36">
        <f>-Assumptions!$D$32</f>
        <v/>
      </c>
    </row>
    <row r="25">
      <c r="B25" s="3" t="inlineStr">
        <is>
          <t>Activation capex (deployed)</t>
        </is>
      </c>
      <c r="C25" s="7">
        <f>Assumptions!$D$43</f>
        <v/>
      </c>
    </row>
    <row r="26">
      <c r="B26" s="3" t="inlineStr">
        <is>
          <t>Cash reserve</t>
        </is>
      </c>
      <c r="C26" s="7">
        <f>C13</f>
        <v/>
      </c>
    </row>
    <row r="27">
      <c r="B27" s="3" t="inlineStr">
        <is>
          <t>Setup fees (expense, written off)</t>
        </is>
      </c>
      <c r="C27" s="36">
        <f>-C14</f>
        <v/>
      </c>
    </row>
    <row r="28">
      <c r="B28" s="25" t="inlineStr">
        <is>
          <t>TOTAL NAV AT CLOSE</t>
        </is>
      </c>
      <c r="C28" s="27">
        <f>SUM(C21:C27)</f>
        <v/>
      </c>
    </row>
    <row r="29">
      <c r="B29" s="3" t="inlineStr">
        <is>
          <t>Implied LP %</t>
        </is>
      </c>
      <c r="C29" s="8">
        <f>Assumptions!$D$17/C28</f>
        <v/>
      </c>
    </row>
  </sheetData>
  <conditionalFormatting sqref="D17">
    <cfRule type="cellIs" priority="1" operator="equal" dxfId="0">
      <formula>"BALANCED"</formula>
    </cfRule>
    <cfRule type="cellIs" priority="2" operator="equal" dxfId="1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3" t="inlineStr">
        <is>
          <t>DEBT RESTRUCTURE — Settlement Scenarios</t>
        </is>
      </c>
    </row>
    <row r="3">
      <c r="B3" s="5" t="inlineStr">
        <is>
          <t>Sensitivity to settlement haircut. Base case 30% haircut frees SAR 30M of equity.</t>
        </is>
      </c>
    </row>
    <row r="5">
      <c r="B5" s="29" t="inlineStr">
        <is>
          <t>Haircut</t>
        </is>
      </c>
      <c r="C5" s="37" t="n">
        <v>0.2</v>
      </c>
      <c r="D5" s="37" t="n">
        <v>0.25</v>
      </c>
      <c r="E5" s="37" t="n">
        <v>0.3</v>
      </c>
      <c r="F5" s="37" t="n">
        <v>0.35</v>
      </c>
      <c r="G5" s="37" t="n">
        <v>0.4</v>
      </c>
    </row>
    <row r="6">
      <c r="B6" t="inlineStr">
        <is>
          <t>Cash to settle (SAR)</t>
        </is>
      </c>
      <c r="C6" s="7">
        <f>Assumptions!$D$30*(1-0.2)</f>
        <v/>
      </c>
      <c r="D6" s="7">
        <f>Assumptions!$D$30*(1-0.25)</f>
        <v/>
      </c>
      <c r="E6" s="7">
        <f>Assumptions!$D$30*(1-0.3)</f>
        <v/>
      </c>
      <c r="F6" s="7">
        <f>Assumptions!$D$30*(1-0.35)</f>
        <v/>
      </c>
      <c r="G6" s="7">
        <f>Assumptions!$D$30*(1-0.4)</f>
        <v/>
      </c>
    </row>
    <row r="7">
      <c r="B7" t="inlineStr">
        <is>
          <t>Cash freed (equity creation)</t>
        </is>
      </c>
      <c r="C7" s="35">
        <f>Assumptions!$D$30*0.2</f>
        <v/>
      </c>
      <c r="D7" s="35">
        <f>Assumptions!$D$30*0.25</f>
        <v/>
      </c>
      <c r="E7" s="35">
        <f>Assumptions!$D$30*0.3</f>
        <v/>
      </c>
      <c r="F7" s="35">
        <f>Assumptions!$D$30*0.35</f>
        <v/>
      </c>
      <c r="G7" s="35">
        <f>Assumptions!$D$30*0.4</f>
        <v/>
      </c>
    </row>
    <row r="8">
      <c r="B8" t="inlineStr">
        <is>
          <t>LP cash earmarked</t>
        </is>
      </c>
      <c r="C8" s="7">
        <f>Assumptions!$D$34</f>
        <v/>
      </c>
      <c r="D8" s="7">
        <f>Assumptions!$D$34</f>
        <v/>
      </c>
      <c r="E8" s="7">
        <f>Assumptions!$D$34</f>
        <v/>
      </c>
      <c r="F8" s="7">
        <f>Assumptions!$D$34</f>
        <v/>
      </c>
      <c r="G8" s="7">
        <f>Assumptions!$D$34</f>
        <v/>
      </c>
    </row>
    <row r="9">
      <c r="B9" t="inlineStr">
        <is>
          <t>Sufficiency (earmark − need)</t>
        </is>
      </c>
      <c r="C9" s="7">
        <f>C8-C6</f>
        <v/>
      </c>
      <c r="D9" s="7">
        <f>D8-D6</f>
        <v/>
      </c>
      <c r="E9" s="7">
        <f>E8-E6</f>
        <v/>
      </c>
      <c r="F9" s="7">
        <f>F8-F6</f>
        <v/>
      </c>
      <c r="G9" s="7">
        <f>G8-G6</f>
        <v/>
      </c>
    </row>
    <row r="10">
      <c r="B10" t="inlineStr">
        <is>
          <t>Status</t>
        </is>
      </c>
      <c r="C10" s="15">
        <f>IF(C9&gt;=0,"OK","SHORTFALL")</f>
        <v/>
      </c>
      <c r="D10" s="15">
        <f>IF(D9&gt;=0,"OK","SHORTFALL")</f>
        <v/>
      </c>
      <c r="E10" s="15">
        <f>IF(E9&gt;=0,"OK","SHORTFALL")</f>
        <v/>
      </c>
      <c r="F10" s="15">
        <f>IF(F9&gt;=0,"OK","SHORTFALL")</f>
        <v/>
      </c>
      <c r="G10" s="15">
        <f>IF(G9&gt;=0,"OK","SHORTFALL")</f>
        <v/>
      </c>
    </row>
    <row r="13">
      <c r="B13" s="4" t="inlineStr">
        <is>
          <t>EXECUTION RISK</t>
        </is>
      </c>
    </row>
    <row r="14">
      <c r="B14" s="5" t="inlineStr">
        <is>
          <t>1. Creditor consent required — settlement only effective if all creditors agree.</t>
        </is>
      </c>
    </row>
    <row r="15">
      <c r="B15" s="5" t="inlineStr">
        <is>
          <t>2. Acceptance probability decreases as haircut increases beyond 35%.</t>
        </is>
      </c>
    </row>
    <row r="16">
      <c r="B16" s="5" t="inlineStr">
        <is>
          <t>3. Fund will not close without binding settlement letters or LOIs.</t>
        </is>
      </c>
    </row>
    <row r="17">
      <c r="B17" s="5" t="inlineStr">
        <is>
          <t>4. Any unsettled debt remains as fund liability — adjust NAV accordingly.</t>
        </is>
      </c>
    </row>
    <row r="18">
      <c r="B18" s="5" t="inlineStr">
        <is>
          <t>5. RETT may apply on encumbered-asset transfers; legal review required.</t>
        </is>
      </c>
    </row>
  </sheetData>
  <conditionalFormatting sqref="C10:G10">
    <cfRule type="cellIs" priority="1" operator="equal" dxfId="0">
      <formula>"OK"</formula>
    </cfRule>
    <cfRule type="cellIs" priority="2" operator="equal" dxfId="1">
      <formula>"SHORTFALL"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REVENUE BUILD</t>
        </is>
      </c>
    </row>
    <row r="4">
      <c r="B4" s="29" t="inlineStr">
        <is>
          <t>Year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5">
      <c r="B5" t="inlineStr">
        <is>
          <t>Calendar year</t>
        </is>
      </c>
      <c r="C5" s="30">
        <f>Assumptions!$D$5</f>
        <v/>
      </c>
      <c r="D5" s="30">
        <f>Assumptions!$D$5+1</f>
        <v/>
      </c>
      <c r="E5" s="30">
        <f>Assumptions!$D$5+2</f>
        <v/>
      </c>
      <c r="F5" s="30">
        <f>Assumptions!$D$5+3</f>
        <v/>
      </c>
      <c r="G5" s="30">
        <f>Assumptions!$D$5+4</f>
        <v/>
      </c>
      <c r="H5" s="30">
        <f>Assumptions!$D$5+5</f>
        <v/>
      </c>
    </row>
    <row r="7">
      <c r="B7" s="3" t="inlineStr">
        <is>
          <t>Base rental income (existing portfolio)</t>
        </is>
      </c>
      <c r="C7" s="7" t="n">
        <v>0</v>
      </c>
      <c r="D7" s="7">
        <f>Assumptions!$D$11*(1+Assumptions!$D$49)</f>
        <v/>
      </c>
      <c r="E7" s="7">
        <f>D7*(1+Assumptions!$D$49)</f>
        <v/>
      </c>
      <c r="F7" s="7">
        <f>E7*(1+Assumptions!$D$49)</f>
        <v/>
      </c>
      <c r="G7" s="7">
        <f>F7*(1+Assumptions!$D$49)</f>
        <v/>
      </c>
      <c r="H7" s="7">
        <f>G7*(1+Assumptions!$D$49)</f>
        <v/>
      </c>
    </row>
    <row r="8">
      <c r="B8" s="3" t="inlineStr">
        <is>
          <t>Activation income (idle assets ramping)</t>
        </is>
      </c>
      <c r="C8" s="7" t="n">
        <v>0</v>
      </c>
      <c r="D8" s="7">
        <f>Activation!D10</f>
        <v/>
      </c>
      <c r="E8" s="7">
        <f>Activation!E10</f>
        <v/>
      </c>
      <c r="F8" s="7">
        <f>Activation!F10</f>
        <v/>
      </c>
      <c r="G8" s="7">
        <f>Activation!G10</f>
        <v/>
      </c>
      <c r="H8" s="7">
        <f>Activation!H10</f>
        <v/>
      </c>
    </row>
    <row r="9">
      <c r="B9" s="25" t="inlineStr">
        <is>
          <t>TOTAL GROSS RENTAL</t>
        </is>
      </c>
      <c r="C9" s="27">
        <f>C7+C8</f>
        <v/>
      </c>
      <c r="D9" s="27">
        <f>D7+D8</f>
        <v/>
      </c>
      <c r="E9" s="27">
        <f>E7+E8</f>
        <v/>
      </c>
      <c r="F9" s="27">
        <f>F7+F8</f>
        <v/>
      </c>
      <c r="G9" s="27">
        <f>G7+G8</f>
        <v/>
      </c>
      <c r="H9" s="27">
        <f>H7+H8</f>
        <v/>
      </c>
    </row>
    <row r="10">
      <c r="B10" s="3" t="inlineStr">
        <is>
          <t>Property OpEx (% of gross rental)</t>
        </is>
      </c>
      <c r="C10" s="36">
        <f>-C9*Assumptions!$D$50</f>
        <v/>
      </c>
      <c r="D10" s="36">
        <f>-D9*Assumptions!$D$50</f>
        <v/>
      </c>
      <c r="E10" s="36">
        <f>-E9*Assumptions!$D$50</f>
        <v/>
      </c>
      <c r="F10" s="36">
        <f>-F9*Assumptions!$D$50</f>
        <v/>
      </c>
      <c r="G10" s="36">
        <f>-G9*Assumptions!$D$50</f>
        <v/>
      </c>
      <c r="H10" s="36">
        <f>-H9*Assumptions!$D$50</f>
        <v/>
      </c>
    </row>
    <row r="11">
      <c r="B11" s="25" t="inlineStr">
        <is>
          <t>NOI (rental − opex)</t>
        </is>
      </c>
      <c r="C11" s="27">
        <f>C9+C10</f>
        <v/>
      </c>
      <c r="D11" s="27">
        <f>D9+D10</f>
        <v/>
      </c>
      <c r="E11" s="27">
        <f>E9+E10</f>
        <v/>
      </c>
      <c r="F11" s="27">
        <f>F9+F10</f>
        <v/>
      </c>
      <c r="G11" s="27">
        <f>G9+G10</f>
        <v/>
      </c>
      <c r="H11" s="27">
        <f>H9+H10</f>
        <v/>
      </c>
    </row>
    <row r="13">
      <c r="B13" s="3" t="inlineStr">
        <is>
          <t>Asset sales (non-core)</t>
        </is>
      </c>
      <c r="C13" s="7" t="n">
        <v>0</v>
      </c>
      <c r="D13" s="7">
        <f>Assumptions!$D$54</f>
        <v/>
      </c>
      <c r="E13" s="7">
        <f>Assumptions!$D$55</f>
        <v/>
      </c>
      <c r="F13" s="7">
        <f>Assumptions!$D$56</f>
        <v/>
      </c>
      <c r="G13" s="7">
        <f>Assumptions!$D$57</f>
        <v/>
      </c>
      <c r="H13" s="7">
        <f>Assumptions!$D$58</f>
        <v/>
      </c>
    </row>
    <row r="14">
      <c r="B14" s="3" t="inlineStr">
        <is>
          <t>RETT on sales (5%)</t>
        </is>
      </c>
      <c r="C14" s="7" t="n">
        <v>0</v>
      </c>
      <c r="D14" s="36">
        <f>-D13*Assumptions!$D$80</f>
        <v/>
      </c>
      <c r="E14" s="36">
        <f>-E13*Assumptions!$D$80</f>
        <v/>
      </c>
      <c r="F14" s="36">
        <f>-F13*Assumptions!$D$80</f>
        <v/>
      </c>
      <c r="G14" s="36">
        <f>-G13*Assumptions!$D$80</f>
        <v/>
      </c>
      <c r="H14" s="36">
        <f>-H13*Assumptions!$D$80</f>
        <v/>
      </c>
    </row>
    <row r="15">
      <c r="B15" s="3" t="inlineStr">
        <is>
          <t>Net sale proceeds</t>
        </is>
      </c>
      <c r="C15" s="7">
        <f>C13+C14</f>
        <v/>
      </c>
      <c r="D15" s="7">
        <f>D13+D14</f>
        <v/>
      </c>
      <c r="E15" s="7">
        <f>E13+E14</f>
        <v/>
      </c>
      <c r="F15" s="7">
        <f>F13+F14</f>
        <v/>
      </c>
      <c r="G15" s="7">
        <f>G13+G14</f>
        <v/>
      </c>
      <c r="H15" s="7">
        <f>H13+H14</f>
        <v/>
      </c>
    </row>
    <row r="17">
      <c r="B17" s="25" t="inlineStr">
        <is>
          <t>TOTAL REVENUE &amp; PROCEEDS</t>
        </is>
      </c>
      <c r="C17" s="27">
        <f>C11+C15</f>
        <v/>
      </c>
      <c r="D17" s="27">
        <f>D11+D15</f>
        <v/>
      </c>
      <c r="E17" s="27">
        <f>E11+E15</f>
        <v/>
      </c>
      <c r="F17" s="27">
        <f>F11+F15</f>
        <v/>
      </c>
      <c r="G17" s="27">
        <f>G11+G15</f>
        <v/>
      </c>
      <c r="H17" s="27">
        <f>H11+H15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FUND-LEVEL EXPENSES &amp; FEES</t>
        </is>
      </c>
    </row>
    <row r="4">
      <c r="B4" s="29" t="inlineStr">
        <is>
          <t>Item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6">
      <c r="B6" s="3" t="inlineStr">
        <is>
          <t>Manager fee (1.5% of NAV)</t>
        </is>
      </c>
      <c r="C6" s="7" t="n">
        <v>0</v>
      </c>
      <c r="D6" s="36">
        <f>-NAV_Trajectory!D7*Assumptions!$D$61</f>
        <v/>
      </c>
      <c r="E6" s="36">
        <f>-NAV_Trajectory!E7*Assumptions!$D$61</f>
        <v/>
      </c>
      <c r="F6" s="36">
        <f>-NAV_Trajectory!F7*Assumptions!$D$61</f>
        <v/>
      </c>
      <c r="G6" s="36">
        <f>-NAV_Trajectory!G7*Assumptions!$D$61</f>
        <v/>
      </c>
      <c r="H6" s="36">
        <f>-NAV_Trajectory!H7*Assumptions!$D$61</f>
        <v/>
      </c>
    </row>
    <row r="7">
      <c r="B7" s="3" t="inlineStr">
        <is>
          <t>Setup fee (1% of LP commitments, one-time)</t>
        </is>
      </c>
      <c r="C7" s="36">
        <f>-Assumptions!$D$17*Assumptions!$D$62</f>
        <v/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B8" s="3" t="inlineStr">
        <is>
          <t>Custodian + audit + legal (annual)</t>
        </is>
      </c>
      <c r="C8" s="7" t="n">
        <v>0</v>
      </c>
      <c r="D8" s="36">
        <f>-Assumptions!$D$63*(1+Assumptions!$D$51)^0</f>
        <v/>
      </c>
      <c r="E8" s="36">
        <f>-Assumptions!$D$63*(1+Assumptions!$D$51)^1</f>
        <v/>
      </c>
      <c r="F8" s="36">
        <f>-Assumptions!$D$63*(1+Assumptions!$D$51)^2</f>
        <v/>
      </c>
      <c r="G8" s="36">
        <f>-Assumptions!$D$63*(1+Assumptions!$D$51)^3</f>
        <v/>
      </c>
      <c r="H8" s="36">
        <f>-Assumptions!$D$63*(1+Assumptions!$D$51)^4</f>
        <v/>
      </c>
    </row>
    <row r="9">
      <c r="B9" s="3" t="inlineStr">
        <is>
          <t>Sharia board (annual)</t>
        </is>
      </c>
      <c r="C9" s="7" t="n">
        <v>0</v>
      </c>
      <c r="D9" s="36">
        <f>-Assumptions!$D$64*(1+Assumptions!$D$51)^0</f>
        <v/>
      </c>
      <c r="E9" s="36">
        <f>-Assumptions!$D$64*(1+Assumptions!$D$51)^1</f>
        <v/>
      </c>
      <c r="F9" s="36">
        <f>-Assumptions!$D$64*(1+Assumptions!$D$51)^2</f>
        <v/>
      </c>
      <c r="G9" s="36">
        <f>-Assumptions!$D$64*(1+Assumptions!$D$51)^3</f>
        <v/>
      </c>
      <c r="H9" s="36">
        <f>-Assumptions!$D$64*(1+Assumptions!$D$51)^4</f>
        <v/>
      </c>
    </row>
    <row r="10">
      <c r="B10" s="3" t="inlineStr">
        <is>
          <t>White-land tax provision (Mecca)</t>
        </is>
      </c>
      <c r="C10" s="7" t="n">
        <v>0</v>
      </c>
      <c r="D10" s="36">
        <f>-Assumptions!$D$65*(1+Assumptions!$D$51)^0</f>
        <v/>
      </c>
      <c r="E10" s="36">
        <f>-Assumptions!$D$65*(1+Assumptions!$D$51)^1</f>
        <v/>
      </c>
      <c r="F10" s="36">
        <f>-Assumptions!$D$65*(1+Assumptions!$D$51)^2</f>
        <v/>
      </c>
      <c r="G10" s="36">
        <f>-Assumptions!$D$65*(1+Assumptions!$D$51)^3</f>
        <v/>
      </c>
      <c r="H10" s="36">
        <f>-Assumptions!$D$65*(1+Assumptions!$D$51)^4</f>
        <v/>
      </c>
    </row>
    <row r="11">
      <c r="B11" s="3" t="inlineStr">
        <is>
          <t>Zakat (on shielded NAV)</t>
        </is>
      </c>
      <c r="C11" s="7" t="n">
        <v>0</v>
      </c>
      <c r="D11" s="36">
        <f>-NAV_Trajectory!D7*(1-Assumptions!$D$79)*Assumptions!$D$78</f>
        <v/>
      </c>
      <c r="E11" s="36">
        <f>-NAV_Trajectory!E7*(1-Assumptions!$D$79)*Assumptions!$D$78</f>
        <v/>
      </c>
      <c r="F11" s="36">
        <f>-NAV_Trajectory!F7*(1-Assumptions!$D$79)*Assumptions!$D$78</f>
        <v/>
      </c>
      <c r="G11" s="36">
        <f>-NAV_Trajectory!G7*(1-Assumptions!$D$79)*Assumptions!$D$78</f>
        <v/>
      </c>
      <c r="H11" s="36">
        <f>-NAV_Trajectory!H7*(1-Assumptions!$D$79)*Assumptions!$D$78</f>
        <v/>
      </c>
    </row>
    <row r="13">
      <c r="B13" s="25" t="inlineStr">
        <is>
          <t>TOTAL FUND EXPENSES (cash out)</t>
        </is>
      </c>
      <c r="C13" s="27">
        <f>SUM(C6:C11)</f>
        <v/>
      </c>
      <c r="D13" s="27">
        <f>SUM(D6:D11)</f>
        <v/>
      </c>
      <c r="E13" s="27">
        <f>SUM(E6:E11)</f>
        <v/>
      </c>
      <c r="F13" s="27">
        <f>SUM(F6:F11)</f>
        <v/>
      </c>
      <c r="G13" s="27">
        <f>SUM(G6:G11)</f>
        <v/>
      </c>
      <c r="H13" s="27">
        <f>SUM(H6:H11)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FUND CASH FLOW — 5-Year</t>
        </is>
      </c>
    </row>
    <row r="4">
      <c r="B4" s="29" t="inlineStr">
        <is>
          <t>Line item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5">
      <c r="B5" s="4" t="inlineStr">
        <is>
          <t>SOURCES (Y0 only)</t>
        </is>
      </c>
    </row>
    <row r="6">
      <c r="B6" s="3" t="inlineStr">
        <is>
          <t>Sponsor in-kind contribution</t>
        </is>
      </c>
      <c r="C6" s="35">
        <f>Assumptions!$D$16</f>
        <v/>
      </c>
    </row>
    <row r="7">
      <c r="B7" s="3" t="inlineStr">
        <is>
          <t>LP cash commitment</t>
        </is>
      </c>
      <c r="C7" s="35">
        <f>Assumptions!$D$17</f>
        <v/>
      </c>
    </row>
    <row r="9">
      <c r="B9" s="4" t="inlineStr">
        <is>
          <t>USES (Y0 only)</t>
        </is>
      </c>
    </row>
    <row r="10">
      <c r="B10" s="3" t="inlineStr">
        <is>
          <t>Cash to settle debt</t>
        </is>
      </c>
      <c r="C10" s="36">
        <f>-Assumptions!$D$32</f>
        <v/>
      </c>
    </row>
    <row r="11">
      <c r="B11" s="3" t="inlineStr">
        <is>
          <t>Activation capex (deployed)</t>
        </is>
      </c>
      <c r="C11" s="36">
        <f>-Assumptions!$D$43</f>
        <v/>
      </c>
    </row>
    <row r="12">
      <c r="B12" s="3" t="inlineStr">
        <is>
          <t>Setup fees paid</t>
        </is>
      </c>
      <c r="C12" s="36">
        <f>-Assumptions!$D$17*Assumptions!$D$26</f>
        <v/>
      </c>
    </row>
    <row r="14">
      <c r="B14" s="25" t="inlineStr">
        <is>
          <t>Net Y0 cash on B/S (reserve)</t>
        </is>
      </c>
      <c r="C14" s="27">
        <f>C7+C10+C11+C12</f>
        <v/>
      </c>
    </row>
    <row r="16">
      <c r="B16" s="4" t="inlineStr">
        <is>
          <t>OPERATING CASH FLOW</t>
        </is>
      </c>
    </row>
    <row r="17">
      <c r="B17" s="3" t="inlineStr">
        <is>
          <t>Gross rental income (Revenue!9)</t>
        </is>
      </c>
      <c r="D17" s="7">
        <f>Revenue!D9</f>
        <v/>
      </c>
      <c r="E17" s="7">
        <f>Revenue!E9</f>
        <v/>
      </c>
      <c r="F17" s="7">
        <f>Revenue!F9</f>
        <v/>
      </c>
      <c r="G17" s="7">
        <f>Revenue!G9</f>
        <v/>
      </c>
      <c r="H17" s="7">
        <f>Revenue!H9</f>
        <v/>
      </c>
    </row>
    <row r="18">
      <c r="B18" s="3" t="inlineStr">
        <is>
          <t>Less: property OpEx</t>
        </is>
      </c>
      <c r="D18" s="7">
        <f>Revenue!D10</f>
        <v/>
      </c>
      <c r="E18" s="7">
        <f>Revenue!E10</f>
        <v/>
      </c>
      <c r="F18" s="7">
        <f>Revenue!F10</f>
        <v/>
      </c>
      <c r="G18" s="7">
        <f>Revenue!G10</f>
        <v/>
      </c>
      <c r="H18" s="7">
        <f>Revenue!H10</f>
        <v/>
      </c>
    </row>
    <row r="19">
      <c r="B19" s="38" t="inlineStr">
        <is>
          <t>NOI</t>
        </is>
      </c>
      <c r="D19" s="39">
        <f>D17+D18</f>
        <v/>
      </c>
      <c r="E19" s="39">
        <f>E17+E18</f>
        <v/>
      </c>
      <c r="F19" s="39">
        <f>F17+F18</f>
        <v/>
      </c>
      <c r="G19" s="39">
        <f>G17+G18</f>
        <v/>
      </c>
      <c r="H19" s="39">
        <f>H17+H18</f>
        <v/>
      </c>
    </row>
    <row r="20">
      <c r="B20" s="3" t="inlineStr">
        <is>
          <t>Less: fund expenses (mgmt + custodian + sharia + WLT + zakat)</t>
        </is>
      </c>
      <c r="D20" s="7">
        <f>OpEx_Fees!D13-OpEx_Fees!D7</f>
        <v/>
      </c>
      <c r="E20" s="7">
        <f>OpEx_Fees!E13-OpEx_Fees!E7</f>
        <v/>
      </c>
      <c r="F20" s="7">
        <f>OpEx_Fees!F13-OpEx_Fees!F7</f>
        <v/>
      </c>
      <c r="G20" s="7">
        <f>OpEx_Fees!G13-OpEx_Fees!G7</f>
        <v/>
      </c>
      <c r="H20" s="7">
        <f>OpEx_Fees!H13-OpEx_Fees!H7</f>
        <v/>
      </c>
    </row>
    <row r="21">
      <c r="B21" s="25" t="inlineStr">
        <is>
          <t>Operating cash flow</t>
        </is>
      </c>
      <c r="D21" s="27">
        <f>D19+D20</f>
        <v/>
      </c>
      <c r="E21" s="27">
        <f>E19+E20</f>
        <v/>
      </c>
      <c r="F21" s="27">
        <f>F19+F20</f>
        <v/>
      </c>
      <c r="G21" s="27">
        <f>G19+G20</f>
        <v/>
      </c>
      <c r="H21" s="27">
        <f>H19+H20</f>
        <v/>
      </c>
    </row>
    <row r="23">
      <c r="B23" s="3" t="inlineStr">
        <is>
          <t>Net asset-sale proceeds</t>
        </is>
      </c>
      <c r="D23" s="35">
        <f>Revenue!D15</f>
        <v/>
      </c>
      <c r="E23" s="35">
        <f>Revenue!E15</f>
        <v/>
      </c>
      <c r="F23" s="35">
        <f>Revenue!F15</f>
        <v/>
      </c>
      <c r="G23" s="35">
        <f>Revenue!G15</f>
        <v/>
      </c>
      <c r="H23" s="35">
        <f>Revenue!H15</f>
        <v/>
      </c>
    </row>
    <row r="25">
      <c r="B25" s="3" t="inlineStr">
        <is>
          <t>Exit value (terminal sale of remaining portfolio)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35">
        <f>NAV_Trajectory!H7*(1-Assumptions!$D$75)</f>
        <v/>
      </c>
    </row>
    <row r="27">
      <c r="B27" s="25" t="inlineStr">
        <is>
          <t>TOTAL FUND CASH AVAILABLE FOR DISTRIBUTION</t>
        </is>
      </c>
      <c r="D27" s="27">
        <f>D21+D23+D25</f>
        <v/>
      </c>
      <c r="E27" s="27">
        <f>E21+E23+E25</f>
        <v/>
      </c>
      <c r="F27" s="27">
        <f>F21+F23+F25</f>
        <v/>
      </c>
      <c r="G27" s="27">
        <f>G21+G23+G25</f>
        <v/>
      </c>
      <c r="H27" s="27">
        <f>H21+H23+H25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NAV TRAJECTORY</t>
        </is>
      </c>
    </row>
    <row r="4">
      <c r="B4" s="29" t="inlineStr">
        <is>
          <t>Period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6">
      <c r="B6" s="3" t="inlineStr">
        <is>
          <t>Opening NAV</t>
        </is>
      </c>
      <c r="C6" s="7" t="n">
        <v>0</v>
      </c>
      <c r="D6" s="7">
        <f>C7</f>
        <v/>
      </c>
      <c r="E6" s="7">
        <f>D7</f>
        <v/>
      </c>
      <c r="F6" s="7">
        <f>E7</f>
        <v/>
      </c>
      <c r="G6" s="7">
        <f>F7</f>
        <v/>
      </c>
      <c r="H6" s="7">
        <f>G7</f>
        <v/>
      </c>
    </row>
    <row r="7">
      <c r="B7" s="25" t="inlineStr">
        <is>
          <t>Closing NAV</t>
        </is>
      </c>
      <c r="C7" s="27">
        <f>Sources_Uses!$C$28</f>
        <v/>
      </c>
      <c r="D7" s="27">
        <f>C7*(1+Assumptions!$D$74)-Revenue!D13+Activation!D10*5</f>
        <v/>
      </c>
      <c r="E7" s="27">
        <f>D7*(1+Assumptions!$D$74)-Revenue!E13+Activation!E10*5</f>
        <v/>
      </c>
      <c r="F7" s="27">
        <f>E7*(1+Assumptions!$D$74)-Revenue!F13+Activation!F10*5</f>
        <v/>
      </c>
      <c r="G7" s="27">
        <f>F7*(1+Assumptions!$D$74)-Revenue!G13+Activation!G10*5</f>
        <v/>
      </c>
      <c r="H7" s="27">
        <f>G7*(1+Assumptions!$D$74)-Revenue!H13+Activation!H10*5</f>
        <v/>
      </c>
    </row>
    <row r="9">
      <c r="B9" s="40" t="inlineStr">
        <is>
          <t>NAV growth (YoY)</t>
        </is>
      </c>
      <c r="C9" s="15" t="inlineStr"/>
      <c r="D9" s="41">
        <f>IFERROR(D7/C7-1,0)</f>
        <v/>
      </c>
      <c r="E9" s="41">
        <f>IFERROR(E7/D7-1,0)</f>
        <v/>
      </c>
      <c r="F9" s="41">
        <f>IFERROR(F7/E7-1,0)</f>
        <v/>
      </c>
      <c r="G9" s="41">
        <f>IFERROR(G7/F7-1,0)</f>
        <v/>
      </c>
      <c r="H9" s="41">
        <f>IFERROR(H7/G7-1,0)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DISTRIBUTION WATERFALL — European (LP-friendly)</t>
        </is>
      </c>
    </row>
    <row r="3">
      <c r="B3" s="5" t="inlineStr">
        <is>
          <t>Tier 1: return of LP capital. Tier 2: 8% LP preferred return. Tier 3: GP catch-up to 20%. Tier 4: 80/20 split.</t>
        </is>
      </c>
    </row>
    <row r="5">
      <c r="B5" s="29" t="inlineStr">
        <is>
          <t>Period</t>
        </is>
      </c>
      <c r="C5" s="24" t="inlineStr">
        <is>
          <t>Y0</t>
        </is>
      </c>
      <c r="D5" s="24" t="inlineStr">
        <is>
          <t>Y1</t>
        </is>
      </c>
      <c r="E5" s="24" t="inlineStr">
        <is>
          <t>Y2</t>
        </is>
      </c>
      <c r="F5" s="24" t="inlineStr">
        <is>
          <t>Y3</t>
        </is>
      </c>
      <c r="G5" s="24" t="inlineStr">
        <is>
          <t>Y4</t>
        </is>
      </c>
      <c r="H5" s="24" t="inlineStr">
        <is>
          <t>Y5</t>
        </is>
      </c>
    </row>
    <row r="7">
      <c r="B7" s="3" t="inlineStr">
        <is>
          <t>Cash available for distribution (from Fund_CF)</t>
        </is>
      </c>
      <c r="C7" s="7" t="n">
        <v>0</v>
      </c>
      <c r="D7" s="7">
        <f>Fund_CF!D27</f>
        <v/>
      </c>
      <c r="E7" s="7">
        <f>Fund_CF!E27</f>
        <v/>
      </c>
      <c r="F7" s="7">
        <f>Fund_CF!F27</f>
        <v/>
      </c>
      <c r="G7" s="7">
        <f>Fund_CF!G27</f>
        <v/>
      </c>
      <c r="H7" s="7">
        <f>Fund_CF!H27</f>
        <v/>
      </c>
    </row>
    <row r="9">
      <c r="B9" s="4" t="inlineStr">
        <is>
          <t>TIER 1: Return of LP capital</t>
        </is>
      </c>
    </row>
    <row r="10">
      <c r="B10" s="3" t="inlineStr">
        <is>
          <t>Unreturned LP capital (period-start)</t>
        </is>
      </c>
      <c r="C10" s="7">
        <f>Assumptions!$D$17</f>
        <v/>
      </c>
      <c r="D10" s="7">
        <f>MAX(0,C10-C11)</f>
        <v/>
      </c>
      <c r="E10" s="7">
        <f>MAX(0,D10-D11)</f>
        <v/>
      </c>
      <c r="F10" s="7">
        <f>MAX(0,E10-E11)</f>
        <v/>
      </c>
      <c r="G10" s="7">
        <f>MAX(0,F10-F11)</f>
        <v/>
      </c>
      <c r="H10" s="7">
        <f>MAX(0,G10-G11)</f>
        <v/>
      </c>
    </row>
    <row r="11">
      <c r="B11" s="3" t="inlineStr">
        <is>
          <t xml:space="preserve">  Capital returned this period</t>
        </is>
      </c>
      <c r="C11" s="7" t="n">
        <v>0</v>
      </c>
    </row>
    <row r="12">
      <c r="B12" s="3" t="inlineStr">
        <is>
          <t xml:space="preserve">  Pref accrual on outstanding capital (8%)</t>
        </is>
      </c>
      <c r="C12" s="7" t="n">
        <v>0</v>
      </c>
      <c r="D12" s="7">
        <f>D10*Assumptions!$D$68</f>
        <v/>
      </c>
      <c r="E12" s="7">
        <f>E10*Assumptions!$D$68</f>
        <v/>
      </c>
      <c r="F12" s="7">
        <f>F10*Assumptions!$D$68</f>
        <v/>
      </c>
      <c r="G12" s="7">
        <f>G10*Assumptions!$D$68</f>
        <v/>
      </c>
      <c r="H12" s="7">
        <f>H10*Assumptions!$D$68</f>
        <v/>
      </c>
    </row>
    <row r="13">
      <c r="B13" s="3" t="inlineStr">
        <is>
          <t xml:space="preserve">  Pref deficit carry-forward (cumulative)</t>
        </is>
      </c>
      <c r="C13" s="7" t="n">
        <v>0</v>
      </c>
      <c r="D13" s="7">
        <f>MAX(0,C13+D12-D14)</f>
        <v/>
      </c>
      <c r="E13" s="7">
        <f>MAX(0,D13+E12-E14)</f>
        <v/>
      </c>
      <c r="F13" s="7">
        <f>MAX(0,E13+F12-F14)</f>
        <v/>
      </c>
      <c r="G13" s="7">
        <f>MAX(0,F13+G12-G14)</f>
        <v/>
      </c>
      <c r="H13" s="7">
        <f>MAX(0,G13+H12-H14)</f>
        <v/>
      </c>
    </row>
    <row r="14">
      <c r="B14" s="3" t="inlineStr">
        <is>
          <t xml:space="preserve">  Pref paid to LP this period</t>
        </is>
      </c>
      <c r="C14" s="7" t="n">
        <v>0</v>
      </c>
      <c r="D14" s="35">
        <f>MIN(D7,D12+C13)</f>
        <v/>
      </c>
      <c r="E14" s="35">
        <f>MIN(E7,E12+D13)</f>
        <v/>
      </c>
      <c r="F14" s="35">
        <f>MIN(F7,F12+E13)</f>
        <v/>
      </c>
      <c r="G14" s="35">
        <f>MIN(G7,G12+F13)</f>
        <v/>
      </c>
      <c r="H14" s="35">
        <f>MIN(H7,H12+G13)</f>
        <v/>
      </c>
    </row>
    <row r="16">
      <c r="B16" s="3" t="inlineStr">
        <is>
          <t>Cash remaining after pref</t>
        </is>
      </c>
      <c r="C16" s="7" t="n">
        <v>0</v>
      </c>
      <c r="D16" s="7">
        <f>MAX(0,D7-D14)</f>
        <v/>
      </c>
      <c r="E16" s="7">
        <f>MAX(0,E7-E14)</f>
        <v/>
      </c>
      <c r="F16" s="7">
        <f>MAX(0,F7-F14)</f>
        <v/>
      </c>
      <c r="G16" s="7">
        <f>MAX(0,G7-G14)</f>
        <v/>
      </c>
      <c r="H16" s="7">
        <f>MAX(0,H7-H14)</f>
        <v/>
      </c>
    </row>
    <row r="18">
      <c r="B18" s="4" t="inlineStr">
        <is>
          <t>TIER 3 (catch-up) + TIER 4 (80/20)</t>
        </is>
      </c>
    </row>
    <row r="19">
      <c r="B19" s="3" t="inlineStr">
        <is>
          <t>GP catch-up + carry (20% of cash above pref + capital return)</t>
        </is>
      </c>
      <c r="C19" s="7" t="n">
        <v>0</v>
      </c>
      <c r="D19" s="7">
        <f>D16*Assumptions!$D$69</f>
        <v/>
      </c>
      <c r="E19" s="7">
        <f>E16*Assumptions!$D$69</f>
        <v/>
      </c>
      <c r="F19" s="7">
        <f>F16*Assumptions!$D$69</f>
        <v/>
      </c>
      <c r="G19" s="7">
        <f>G16*Assumptions!$D$69</f>
        <v/>
      </c>
      <c r="H19" s="7">
        <f>MAX(0,(H16-H10-Assumptions!$D$16)*Assumptions!$D$69)</f>
        <v/>
      </c>
    </row>
    <row r="20">
      <c r="B20" s="3" t="inlineStr">
        <is>
          <t>LP 80% of upside (after pref + carry)</t>
        </is>
      </c>
      <c r="C20" s="7" t="n">
        <v>0</v>
      </c>
      <c r="D20" s="35">
        <f>D16*(1-Assumptions!$D$69)</f>
        <v/>
      </c>
      <c r="E20" s="35">
        <f>E16*(1-Assumptions!$D$69)</f>
        <v/>
      </c>
      <c r="F20" s="35">
        <f>F16*(1-Assumptions!$D$69)</f>
        <v/>
      </c>
      <c r="G20" s="35">
        <f>G16*(1-Assumptions!$D$69)</f>
        <v/>
      </c>
      <c r="H20" s="35">
        <f>H10+MAX(0,(H16-H10-Assumptions!$D$16)*(1-Assumptions!$D$69))</f>
        <v/>
      </c>
    </row>
    <row r="21">
      <c r="B21" s="3" t="inlineStr">
        <is>
          <t>Sponsor capital returned (at exit)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>
        <f>MIN(MAX(0,H16-H10),Assumptions!$D$16)</f>
        <v/>
      </c>
    </row>
    <row r="22">
      <c r="B22" s="25" t="inlineStr">
        <is>
          <t>TOTAL TO LP THIS PERIOD</t>
        </is>
      </c>
      <c r="C22" s="42">
        <f>-Assumptions!$D$17</f>
        <v/>
      </c>
      <c r="D22" s="59">
        <f>D14+D20</f>
        <v/>
      </c>
      <c r="E22" s="59">
        <f>E14+E20</f>
        <v/>
      </c>
      <c r="F22" s="59">
        <f>F14+F20</f>
        <v/>
      </c>
      <c r="G22" s="59">
        <f>G14+G20</f>
        <v/>
      </c>
      <c r="H22" s="59">
        <f>H14+H20</f>
        <v/>
      </c>
    </row>
    <row r="23">
      <c r="B23" s="25" t="inlineStr">
        <is>
          <t>TOTAL TO GP THIS PERIOD</t>
        </is>
      </c>
      <c r="C23" s="27" t="n">
        <v>0</v>
      </c>
      <c r="D23" s="27">
        <f>D19+D21</f>
        <v/>
      </c>
      <c r="E23" s="27">
        <f>E19+E21</f>
        <v/>
      </c>
      <c r="F23" s="27">
        <f>F19+F21</f>
        <v/>
      </c>
      <c r="G23" s="27">
        <f>G19+G21</f>
        <v/>
      </c>
      <c r="H23" s="27">
        <f>H19+H21</f>
        <v/>
      </c>
    </row>
    <row r="24">
      <c r="B24" s="51" t="inlineStr">
        <is>
          <t xml:space="preserve">  of which: sponsor capital recovery</t>
        </is>
      </c>
      <c r="D24" s="60" t="n">
        <v>0</v>
      </c>
      <c r="E24" s="60" t="n">
        <v>0</v>
      </c>
      <c r="F24" s="60" t="n">
        <v>0</v>
      </c>
      <c r="G24" s="60" t="n">
        <v>0</v>
      </c>
      <c r="H24" s="60">
        <f>H21</f>
        <v/>
      </c>
    </row>
    <row r="25">
      <c r="B25" s="51" t="inlineStr">
        <is>
          <t xml:space="preserve">  of which: GP carry</t>
        </is>
      </c>
      <c r="C25" s="40" t="n">
        <v>0</v>
      </c>
      <c r="D25" s="60">
        <f>D19</f>
        <v/>
      </c>
      <c r="E25" s="60">
        <f>E19</f>
        <v/>
      </c>
      <c r="F25" s="60">
        <f>F19</f>
        <v/>
      </c>
      <c r="G25" s="60">
        <f>G19</f>
        <v/>
      </c>
      <c r="H25" s="60">
        <f>H19</f>
        <v/>
      </c>
    </row>
    <row r="26">
      <c r="B26" s="40" t="inlineStr">
        <is>
          <t>Tie-out (Cash − LP − GP/Sponsor)</t>
        </is>
      </c>
      <c r="D26" s="43">
        <f>D7-D22-D23</f>
        <v/>
      </c>
      <c r="E26" s="43">
        <f>E7-E22-E23</f>
        <v/>
      </c>
      <c r="F26" s="43">
        <f>F7-F22-F23</f>
        <v/>
      </c>
      <c r="G26" s="43">
        <f>G7-G22-G23</f>
        <v/>
      </c>
      <c r="H26" s="43">
        <f>H7-H22-H23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LP RETURN METRICS</t>
        </is>
      </c>
    </row>
    <row r="4">
      <c r="B4" s="29" t="inlineStr">
        <is>
          <t>Year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5">
      <c r="B5" s="3" t="inlineStr">
        <is>
          <t>LP cash flow (Y0 outflow, then distributions)</t>
        </is>
      </c>
      <c r="C5" s="36">
        <f>-Assumptions!$D$17</f>
        <v/>
      </c>
      <c r="D5" s="7">
        <f>Waterfall!D22</f>
        <v/>
      </c>
      <c r="E5" s="7">
        <f>Waterfall!E22</f>
        <v/>
      </c>
      <c r="F5" s="7">
        <f>Waterfall!F22</f>
        <v/>
      </c>
      <c r="G5" s="7">
        <f>Waterfall!G22</f>
        <v/>
      </c>
      <c r="H5" s="7">
        <f>Waterfall!H22</f>
        <v/>
      </c>
    </row>
    <row r="6">
      <c r="B6" s="3" t="inlineStr">
        <is>
          <t>Cumulative LP cash flow</t>
        </is>
      </c>
      <c r="C6" s="7">
        <f>C5</f>
        <v/>
      </c>
      <c r="D6" s="7">
        <f>C6+D5</f>
        <v/>
      </c>
      <c r="E6" s="7">
        <f>D6+E5</f>
        <v/>
      </c>
      <c r="F6" s="7">
        <f>E6+F5</f>
        <v/>
      </c>
      <c r="G6" s="7">
        <f>F6+G5</f>
        <v/>
      </c>
      <c r="H6" s="7">
        <f>G6+H5</f>
        <v/>
      </c>
    </row>
    <row r="8">
      <c r="B8" s="4" t="inlineStr">
        <is>
          <t>HEADLINE LP METRICS</t>
        </is>
      </c>
    </row>
    <row r="9">
      <c r="B9" s="3" t="inlineStr">
        <is>
          <t>LP commitment (SAR)</t>
        </is>
      </c>
      <c r="C9" s="7">
        <f>Assumptions!$D$17</f>
        <v/>
      </c>
    </row>
    <row r="10">
      <c r="B10" s="3" t="inlineStr">
        <is>
          <t>Total LP distributions (cum.)</t>
        </is>
      </c>
      <c r="C10" s="7">
        <f>SUM(D5:H5)</f>
        <v/>
      </c>
    </row>
    <row r="11">
      <c r="B11" s="25" t="inlineStr">
        <is>
          <t>LP MOIC</t>
        </is>
      </c>
      <c r="C11" s="57">
        <f>C10/C9</f>
        <v/>
      </c>
    </row>
    <row r="12">
      <c r="B12" s="25" t="inlineStr">
        <is>
          <t>LP IRR (5-yr cash flow stream)</t>
        </is>
      </c>
      <c r="C12" s="28">
        <f>IFERROR(IRR(C5:H5),0)</f>
        <v/>
      </c>
    </row>
    <row r="13">
      <c r="B13" s="3" t="inlineStr">
        <is>
          <t>LP NPV @ Ke (13%)</t>
        </is>
      </c>
      <c r="C13" s="7">
        <f>C5+NPV(Assumptions!$D$84,D5:H5)</f>
        <v/>
      </c>
    </row>
    <row r="14">
      <c r="B14" s="3" t="inlineStr">
        <is>
          <t>Distributions ratio (cum. dist / LP capital)</t>
        </is>
      </c>
      <c r="C14" s="8">
        <f>(C10-C9)/C9</f>
        <v/>
      </c>
    </row>
    <row r="15">
      <c r="B15" s="3" t="inlineStr">
        <is>
          <t>Cash-on-Cash Y2 (LP dist Y2 / LP capital)</t>
        </is>
      </c>
      <c r="C15" s="9">
        <f>E5/C9</f>
        <v/>
      </c>
    </row>
    <row r="16">
      <c r="B16" s="3" t="inlineStr">
        <is>
          <t>Cash-on-Cash Y3 (LP dist Y3 / LP capital)</t>
        </is>
      </c>
      <c r="C16" s="9">
        <f>F5/C9</f>
        <v/>
      </c>
    </row>
    <row r="18">
      <c r="B18" s="4" t="inlineStr">
        <is>
          <t>VS TARGETS (per IM Table 4)</t>
        </is>
      </c>
    </row>
    <row r="19">
      <c r="B19" s="3" t="inlineStr">
        <is>
          <t>IRR target 12–15%</t>
        </is>
      </c>
      <c r="C19" s="3">
        <f>IF(C12&gt;=0.12,IF(C12&gt;=0.15,"EXCEEDS TARGET","ON TARGET"),"BELOW TARGET")</f>
        <v/>
      </c>
    </row>
    <row r="20">
      <c r="B20" s="3" t="inlineStr">
        <is>
          <t>MOIC target 1.7–2.0x</t>
        </is>
      </c>
      <c r="C20" s="3">
        <f>IF(C11&gt;=1.7,IF(C11&gt;=2.0,"EXCEEDS TARGET","ON TARGET"),"BELOW TARGET")</f>
        <v/>
      </c>
    </row>
    <row r="21">
      <c r="B21" s="3" t="inlineStr">
        <is>
          <t>Cash-on-Cash target 6–8% (Y2+)</t>
        </is>
      </c>
      <c r="C21" s="3">
        <f>IF(AVERAGE(C15:C16)&gt;=0.06,IF(AVERAGE(C15:C16)&gt;=0.08,"EXCEEDS TARGET","ON TARGET"),"BELOW TARGET")</f>
        <v/>
      </c>
    </row>
  </sheetData>
  <conditionalFormatting sqref="C19">
    <cfRule type="cellIs" priority="1" operator="equal" dxfId="0">
      <formula>"ON TARGET"</formula>
    </cfRule>
    <cfRule type="cellIs" priority="2" operator="equal" dxfId="0">
      <formula>"EXCEEDS TARGET"</formula>
    </cfRule>
    <cfRule type="cellIs" priority="3" operator="equal" dxfId="1">
      <formula>"BELOW TARGET"</formula>
    </cfRule>
  </conditionalFormatting>
  <conditionalFormatting sqref="C20">
    <cfRule type="cellIs" priority="4" operator="equal" dxfId="0">
      <formula>"ON TARGET"</formula>
    </cfRule>
    <cfRule type="cellIs" priority="5" operator="equal" dxfId="0">
      <formula>"EXCEEDS TARGET"</formula>
    </cfRule>
    <cfRule type="cellIs" priority="6" operator="equal" dxfId="1">
      <formula>"BELOW TARGET"</formula>
    </cfRule>
  </conditionalFormatting>
  <conditionalFormatting sqref="C21">
    <cfRule type="cellIs" priority="7" operator="equal" dxfId="0">
      <formula>"ON TARGET"</formula>
    </cfRule>
    <cfRule type="cellIs" priority="8" operator="equal" dxfId="0">
      <formula>"EXCEEDS TARGET"</formula>
    </cfRule>
    <cfRule type="cellIs" priority="9" operator="equal" dxfId="1">
      <formula>"BELOW TARGET"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3" t="inlineStr">
        <is>
          <t>GP / SPONSOR ECONOMICS</t>
        </is>
      </c>
    </row>
    <row r="4">
      <c r="B4" s="29" t="inlineStr">
        <is>
          <t>Year</t>
        </is>
      </c>
      <c r="C4" s="24" t="inlineStr">
        <is>
          <t>Y0</t>
        </is>
      </c>
      <c r="D4" s="24" t="inlineStr">
        <is>
          <t>Y1</t>
        </is>
      </c>
      <c r="E4" s="24" t="inlineStr">
        <is>
          <t>Y2</t>
        </is>
      </c>
      <c r="F4" s="24" t="inlineStr">
        <is>
          <t>Y3</t>
        </is>
      </c>
      <c r="G4" s="24" t="inlineStr">
        <is>
          <t>Y4</t>
        </is>
      </c>
      <c r="H4" s="24" t="inlineStr">
        <is>
          <t>Y5</t>
        </is>
      </c>
    </row>
    <row r="5">
      <c r="B5" s="3" t="inlineStr">
        <is>
          <t>Management fee (1.5% NAV)</t>
        </is>
      </c>
      <c r="C5" s="7" t="n">
        <v>0</v>
      </c>
      <c r="D5" s="35">
        <f>-OpEx_Fees!D6</f>
        <v/>
      </c>
      <c r="E5" s="35">
        <f>-OpEx_Fees!E6</f>
        <v/>
      </c>
      <c r="F5" s="35">
        <f>-OpEx_Fees!F6</f>
        <v/>
      </c>
      <c r="G5" s="35">
        <f>-OpEx_Fees!G6</f>
        <v/>
      </c>
      <c r="H5" s="35">
        <f>-OpEx_Fees!H6</f>
        <v/>
      </c>
    </row>
    <row r="6">
      <c r="B6" s="3" t="inlineStr">
        <is>
          <t>GP carry (from Waterfall)</t>
        </is>
      </c>
      <c r="C6" s="7" t="n">
        <v>0</v>
      </c>
      <c r="D6" s="35">
        <f>Waterfall!D23</f>
        <v/>
      </c>
      <c r="E6" s="35">
        <f>Waterfall!E23</f>
        <v/>
      </c>
      <c r="F6" s="35">
        <f>Waterfall!F23</f>
        <v/>
      </c>
      <c r="G6" s="35">
        <f>Waterfall!G23</f>
        <v/>
      </c>
      <c r="H6" s="35">
        <f>Waterfall!H23</f>
        <v/>
      </c>
    </row>
    <row r="7">
      <c r="B7" s="3" t="inlineStr">
        <is>
          <t>Sponsor in-kind contribution (initial)</t>
        </is>
      </c>
      <c r="C7" s="7">
        <f>Assumptions!$D$16</f>
        <v/>
      </c>
    </row>
    <row r="9">
      <c r="B9" s="25" t="inlineStr">
        <is>
          <t>Total GP cash earned (mgmt fees + carry)</t>
        </is>
      </c>
      <c r="C9" s="27">
        <f>SUM(C5:H5)+SUM(C6:H6)</f>
        <v/>
      </c>
    </row>
    <row r="10">
      <c r="B10" s="3" t="inlineStr">
        <is>
          <t>Sponsor exit recovery (in-kind capital + share of upside)</t>
        </is>
      </c>
      <c r="C10" s="7">
        <f>Waterfall!H21</f>
        <v/>
      </c>
    </row>
    <row r="11">
      <c r="B11" s="25" t="inlineStr">
        <is>
          <t>Sponsor MOIC</t>
        </is>
      </c>
      <c r="C11" s="57">
        <f>(C10+SUM(C5:H5)+SUM(C6:H6))/Assumptions!$D$16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3" t="inlineStr">
        <is>
          <t>STRESS TESTS — 5-Case Sensitivity (analytic proxies)</t>
        </is>
      </c>
    </row>
    <row r="4">
      <c r="B4" s="29" t="inlineStr">
        <is>
          <t>Metric</t>
        </is>
      </c>
      <c r="C4" s="24" t="inlineStr">
        <is>
          <t>Base</t>
        </is>
      </c>
      <c r="D4" s="24" t="inlineStr">
        <is>
          <t>Downside</t>
        </is>
      </c>
      <c r="E4" s="24" t="inlineStr">
        <is>
          <t>Severe</t>
        </is>
      </c>
      <c r="F4" s="24" t="inlineStr">
        <is>
          <t>Stress</t>
        </is>
      </c>
      <c r="G4" s="24" t="inlineStr">
        <is>
          <t>Upside</t>
        </is>
      </c>
    </row>
    <row r="6">
      <c r="B6" s="4" t="inlineStr">
        <is>
          <t>SHOCK INPUTS</t>
        </is>
      </c>
    </row>
    <row r="7">
      <c r="B7" t="inlineStr">
        <is>
          <t>Debt settlement haircut</t>
        </is>
      </c>
      <c r="C7" s="32" t="n">
        <v>0.3</v>
      </c>
      <c r="D7" s="32" t="n">
        <v>0.2</v>
      </c>
      <c r="E7" s="32" t="n">
        <v>0.15</v>
      </c>
      <c r="F7" s="32" t="n">
        <v>0.1</v>
      </c>
      <c r="G7" s="32" t="n">
        <v>0.35</v>
      </c>
    </row>
    <row r="8">
      <c r="B8" t="inlineStr">
        <is>
          <t>Hotel income loss (%)</t>
        </is>
      </c>
      <c r="C8" s="32" t="n">
        <v>0</v>
      </c>
      <c r="D8" s="32" t="n">
        <v>0.2</v>
      </c>
      <c r="E8" s="32" t="n">
        <v>0.5</v>
      </c>
      <c r="F8" s="32" t="n">
        <v>0.8</v>
      </c>
      <c r="G8" s="32" t="n">
        <v>0</v>
      </c>
    </row>
    <row r="9">
      <c r="B9" t="inlineStr">
        <is>
          <t>Mecca regulation/expropriation (%)</t>
        </is>
      </c>
      <c r="C9" s="32" t="n">
        <v>0</v>
      </c>
      <c r="D9" s="32" t="n">
        <v>0.1</v>
      </c>
      <c r="E9" s="32" t="n">
        <v>0.25</v>
      </c>
      <c r="F9" s="32" t="n">
        <v>0.5</v>
      </c>
      <c r="G9" s="32" t="n">
        <v>0</v>
      </c>
    </row>
    <row r="10">
      <c r="B10" t="inlineStr">
        <is>
          <t>Activation delay (years)</t>
        </is>
      </c>
      <c r="C10" s="30" t="n">
        <v>0</v>
      </c>
      <c r="D10" s="30" t="n">
        <v>1</v>
      </c>
      <c r="E10" s="30" t="n">
        <v>2</v>
      </c>
      <c r="F10" s="30" t="n">
        <v>3</v>
      </c>
      <c r="G10" s="30" t="n">
        <v>0</v>
      </c>
    </row>
    <row r="11">
      <c r="B11" t="inlineStr">
        <is>
          <t>Asset appreciation (% p.a.)</t>
        </is>
      </c>
      <c r="C11" s="32" t="n">
        <v>0.03</v>
      </c>
      <c r="D11" s="32" t="n">
        <v>0.01</v>
      </c>
      <c r="E11" s="32" t="n">
        <v>-0.02</v>
      </c>
      <c r="F11" s="32" t="n">
        <v>-0.05</v>
      </c>
      <c r="G11" s="32" t="n">
        <v>0.05</v>
      </c>
    </row>
    <row r="12">
      <c r="B12" t="inlineStr">
        <is>
          <t>Exit cap rate shift (bps)</t>
        </is>
      </c>
      <c r="C12" s="30" t="n">
        <v>0</v>
      </c>
      <c r="D12" s="30" t="n">
        <v>50</v>
      </c>
      <c r="E12" s="30" t="n">
        <v>150</v>
      </c>
      <c r="F12" s="30" t="n">
        <v>300</v>
      </c>
      <c r="G12" s="30" t="n">
        <v>-25</v>
      </c>
    </row>
    <row r="13">
      <c r="B13" t="inlineStr">
        <is>
          <t>Operating cost overrun (%)</t>
        </is>
      </c>
      <c r="C13" s="32" t="n">
        <v>0</v>
      </c>
      <c r="D13" s="32" t="n">
        <v>0.1</v>
      </c>
      <c r="E13" s="32" t="n">
        <v>0.25</v>
      </c>
      <c r="F13" s="32" t="n">
        <v>0.5</v>
      </c>
      <c r="G13" s="32" t="n">
        <v>-0.05</v>
      </c>
    </row>
    <row r="15">
      <c r="B15" s="4" t="inlineStr">
        <is>
          <t>STRESSED OUTPUTS (analytic)</t>
        </is>
      </c>
    </row>
    <row r="16">
      <c r="B16" s="3" t="inlineStr">
        <is>
          <t>Stressed Y2 NOI (SAR M)</t>
        </is>
      </c>
      <c r="C16" s="45">
        <f>Revenue!E11*(1-C7*0.41)*(1-C12*0.2)/1000000</f>
        <v/>
      </c>
      <c r="D16" s="45">
        <f>Revenue!E11*(1-D7*0.41)*(1-D12*0.2)/1000000</f>
        <v/>
      </c>
      <c r="E16" s="45">
        <f>Revenue!E11*(1-E7*0.41)*(1-E12*0.2)/1000000</f>
        <v/>
      </c>
      <c r="F16" s="45">
        <f>Revenue!E11*(1-F7*0.41)*(1-F12*0.2)/1000000</f>
        <v/>
      </c>
      <c r="G16" s="45">
        <f>Revenue!E11*(1-G7*0.41)*(1-G12*0.2)/1000000</f>
        <v/>
      </c>
    </row>
    <row r="17">
      <c r="B17" s="25" t="inlineStr">
        <is>
          <t>Stressed LP IRR (proxy)</t>
        </is>
      </c>
      <c r="C17" s="46">
        <f>LP_Returns!$C$12*(1-C7*0.5-C8*0.7)+(C10-Assumptions!$D$74)-C11/10000</f>
        <v/>
      </c>
      <c r="D17" s="46">
        <f>LP_Returns!$C$12*(1-D7*0.5-D8*0.7)+(D10-Assumptions!$D$74)-D11/10000</f>
        <v/>
      </c>
      <c r="E17" s="46">
        <f>LP_Returns!$C$12*(1-E7*0.5-E8*0.7)+(E10-Assumptions!$D$74)-E11/10000</f>
        <v/>
      </c>
      <c r="F17" s="46">
        <f>LP_Returns!$C$12*(1-F7*0.5-F8*0.7)+(F10-Assumptions!$D$74)-F11/10000</f>
        <v/>
      </c>
      <c r="G17" s="46">
        <f>LP_Returns!$C$12*(1-G7*0.5-G8*0.7)+(G10-Assumptions!$D$74)-G11/10000</f>
        <v/>
      </c>
    </row>
    <row r="18">
      <c r="B18" s="25" t="inlineStr">
        <is>
          <t>Stressed LP MOIC (proxy)</t>
        </is>
      </c>
      <c r="C18" s="58">
        <f>LP_Returns!$C$11*(1-C7*0.4-C8*0.5)+(C10-Assumptions!$D$74)*5</f>
        <v/>
      </c>
      <c r="D18" s="58">
        <f>LP_Returns!$C$11*(1-D7*0.4-D8*0.5)+(D10-Assumptions!$D$74)*5</f>
        <v/>
      </c>
      <c r="E18" s="58">
        <f>LP_Returns!$C$11*(1-E7*0.4-E8*0.5)+(E10-Assumptions!$D$74)*5</f>
        <v/>
      </c>
      <c r="F18" s="58">
        <f>LP_Returns!$C$11*(1-F7*0.4-F8*0.5)+(F10-Assumptions!$D$74)*5</f>
        <v/>
      </c>
      <c r="G18" s="58">
        <f>LP_Returns!$C$11*(1-G7*0.4-G8*0.5)+(G10-Assumptions!$D$74)*5</f>
        <v/>
      </c>
    </row>
    <row r="20">
      <c r="B20" s="25" t="inlineStr">
        <is>
          <t>Investment verdict</t>
        </is>
      </c>
      <c r="C20" s="34">
        <f>IF(AND(C18&gt;=0.12,C19&gt;=1.7),"INVESTABLE",IF(C18&gt;=0.08,"MARGINAL","REJECT"))</f>
        <v/>
      </c>
      <c r="D20" s="34">
        <f>IF(AND(D18&gt;=0.12,D19&gt;=1.7),"INVESTABLE",IF(D18&gt;=0.08,"MARGINAL","REJECT"))</f>
        <v/>
      </c>
      <c r="E20" s="34">
        <f>IF(AND(E18&gt;=0.12,E19&gt;=1.7),"INVESTABLE",IF(E18&gt;=0.08,"MARGINAL","REJECT"))</f>
        <v/>
      </c>
      <c r="F20" s="34">
        <f>IF(AND(F18&gt;=0.12,F19&gt;=1.7),"INVESTABLE",IF(F18&gt;=0.08,"MARGINAL","REJECT"))</f>
        <v/>
      </c>
      <c r="G20" s="34">
        <f>IF(AND(G18&gt;=0.12,G19&gt;=1.7),"INVESTABLE",IF(G18&gt;=0.08,"MARGINAL","REJECT"))</f>
        <v/>
      </c>
    </row>
  </sheetData>
  <conditionalFormatting sqref="C20:G20">
    <cfRule type="cellIs" priority="1" operator="equal" dxfId="0">
      <formula>"INVESTABLE"</formula>
    </cfRule>
    <cfRule type="cellIs" priority="2" operator="equal" dxfId="1">
      <formula>"REJECT"</formula>
    </cfRule>
    <cfRule type="cellIs" priority="3" operator="equal" dxfId="2">
      <formula>"MARGINAL"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3" t="inlineStr">
        <is>
          <t>TWO-WAY SENSITIVITY MATRICES</t>
        </is>
      </c>
    </row>
    <row r="5">
      <c r="B5" s="4" t="inlineStr">
        <is>
          <t>MATRIX 1: LP IRR vs (Debt haircut, LP commitment)</t>
        </is>
      </c>
    </row>
    <row r="7">
      <c r="B7" s="24" t="inlineStr">
        <is>
          <t>Haircut \ LP commitment</t>
        </is>
      </c>
      <c r="C7" s="48" t="n">
        <v>100000000</v>
      </c>
      <c r="D7" s="48" t="n">
        <v>110000000</v>
      </c>
      <c r="E7" s="48" t="n">
        <v>115000000</v>
      </c>
      <c r="F7" s="48" t="n">
        <v>125000000</v>
      </c>
      <c r="G7" s="48" t="n">
        <v>130000000</v>
      </c>
    </row>
    <row r="8">
      <c r="B8" s="49" t="n">
        <v>0.2</v>
      </c>
      <c r="C8" s="32">
        <f>LP_Returns!$C$12*(1+(0.2-Assumptions!$D$31)*0.5)*Assumptions!$D$17/100000000</f>
        <v/>
      </c>
      <c r="D8" s="32">
        <f>LP_Returns!$C$12*(1+(0.2-Assumptions!$D$31)*0.5)*Assumptions!$D$17/110000000</f>
        <v/>
      </c>
      <c r="E8" s="32">
        <f>LP_Returns!$C$12*(1+(0.2-Assumptions!$D$31)*0.5)*Assumptions!$D$17/115000000</f>
        <v/>
      </c>
      <c r="F8" s="32">
        <f>LP_Returns!$C$12*(1+(0.2-Assumptions!$D$31)*0.5)*Assumptions!$D$17/125000000</f>
        <v/>
      </c>
      <c r="G8" s="32">
        <f>LP_Returns!$C$12*(1+(0.2-Assumptions!$D$31)*0.5)*Assumptions!$D$17/130000000</f>
        <v/>
      </c>
    </row>
    <row r="9">
      <c r="B9" s="49" t="n">
        <v>0.25</v>
      </c>
      <c r="C9" s="32">
        <f>LP_Returns!$C$12*(1+(0.25-Assumptions!$D$31)*0.5)*Assumptions!$D$17/100000000</f>
        <v/>
      </c>
      <c r="D9" s="32">
        <f>LP_Returns!$C$12*(1+(0.25-Assumptions!$D$31)*0.5)*Assumptions!$D$17/110000000</f>
        <v/>
      </c>
      <c r="E9" s="32">
        <f>LP_Returns!$C$12*(1+(0.25-Assumptions!$D$31)*0.5)*Assumptions!$D$17/115000000</f>
        <v/>
      </c>
      <c r="F9" s="32">
        <f>LP_Returns!$C$12*(1+(0.25-Assumptions!$D$31)*0.5)*Assumptions!$D$17/125000000</f>
        <v/>
      </c>
      <c r="G9" s="32">
        <f>LP_Returns!$C$12*(1+(0.25-Assumptions!$D$31)*0.5)*Assumptions!$D$17/130000000</f>
        <v/>
      </c>
    </row>
    <row r="10">
      <c r="B10" s="49" t="n">
        <v>0.3</v>
      </c>
      <c r="C10" s="32">
        <f>LP_Returns!$C$12*(1+(0.3-Assumptions!$D$31)*0.5)*Assumptions!$D$17/100000000</f>
        <v/>
      </c>
      <c r="D10" s="32">
        <f>LP_Returns!$C$12*(1+(0.3-Assumptions!$D$31)*0.5)*Assumptions!$D$17/110000000</f>
        <v/>
      </c>
      <c r="E10" s="32">
        <f>LP_Returns!$C$12*(1+(0.3-Assumptions!$D$31)*0.5)*Assumptions!$D$17/115000000</f>
        <v/>
      </c>
      <c r="F10" s="32">
        <f>LP_Returns!$C$12*(1+(0.3-Assumptions!$D$31)*0.5)*Assumptions!$D$17/125000000</f>
        <v/>
      </c>
      <c r="G10" s="32">
        <f>LP_Returns!$C$12*(1+(0.3-Assumptions!$D$31)*0.5)*Assumptions!$D$17/130000000</f>
        <v/>
      </c>
    </row>
    <row r="11">
      <c r="B11" s="49" t="n">
        <v>0.35</v>
      </c>
      <c r="C11" s="32">
        <f>LP_Returns!$C$12*(1+(0.35-Assumptions!$D$31)*0.5)*Assumptions!$D$17/100000000</f>
        <v/>
      </c>
      <c r="D11" s="32">
        <f>LP_Returns!$C$12*(1+(0.35-Assumptions!$D$31)*0.5)*Assumptions!$D$17/110000000</f>
        <v/>
      </c>
      <c r="E11" s="32">
        <f>LP_Returns!$C$12*(1+(0.35-Assumptions!$D$31)*0.5)*Assumptions!$D$17/115000000</f>
        <v/>
      </c>
      <c r="F11" s="32">
        <f>LP_Returns!$C$12*(1+(0.35-Assumptions!$D$31)*0.5)*Assumptions!$D$17/125000000</f>
        <v/>
      </c>
      <c r="G11" s="32">
        <f>LP_Returns!$C$12*(1+(0.35-Assumptions!$D$31)*0.5)*Assumptions!$D$17/130000000</f>
        <v/>
      </c>
    </row>
    <row r="12">
      <c r="B12" s="49" t="n">
        <v>0.4</v>
      </c>
      <c r="C12" s="32">
        <f>LP_Returns!$C$12*(1+(0.4-Assumptions!$D$31)*0.5)*Assumptions!$D$17/100000000</f>
        <v/>
      </c>
      <c r="D12" s="32">
        <f>LP_Returns!$C$12*(1+(0.4-Assumptions!$D$31)*0.5)*Assumptions!$D$17/110000000</f>
        <v/>
      </c>
      <c r="E12" s="32">
        <f>LP_Returns!$C$12*(1+(0.4-Assumptions!$D$31)*0.5)*Assumptions!$D$17/115000000</f>
        <v/>
      </c>
      <c r="F12" s="32">
        <f>LP_Returns!$C$12*(1+(0.4-Assumptions!$D$31)*0.5)*Assumptions!$D$17/125000000</f>
        <v/>
      </c>
      <c r="G12" s="32">
        <f>LP_Returns!$C$12*(1+(0.4-Assumptions!$D$31)*0.5)*Assumptions!$D$17/130000000</f>
        <v/>
      </c>
    </row>
    <row r="16">
      <c r="B16" s="4" t="inlineStr">
        <is>
          <t>MATRIX 2: LP MOIC vs (Activation success %, Exit cap)</t>
        </is>
      </c>
    </row>
    <row r="18">
      <c r="B18" s="24" t="inlineStr">
        <is>
          <t>Activation \ Exit cap</t>
        </is>
      </c>
      <c r="C18" s="37" t="n">
        <v>0.06</v>
      </c>
      <c r="D18" s="37" t="n">
        <v>0.065</v>
      </c>
      <c r="E18" s="37" t="n">
        <v>0.07000000000000001</v>
      </c>
      <c r="F18" s="37" t="n">
        <v>0.075</v>
      </c>
      <c r="G18" s="37" t="n">
        <v>0.08</v>
      </c>
      <c r="H18" s="37" t="n">
        <v>0.08500000000000001</v>
      </c>
    </row>
    <row r="19">
      <c r="B19" s="49" t="n">
        <v>0.4</v>
      </c>
      <c r="C19" s="58">
        <f>LP_Returns!$C$11*(1+(0.4-1)*0.15)*Assumptions!$D$73/0.06</f>
        <v/>
      </c>
      <c r="D19" s="58">
        <f>LP_Returns!$C$11*(1+(0.4-1)*0.15)*Assumptions!$D$73/0.065</f>
        <v/>
      </c>
      <c r="E19" s="58">
        <f>LP_Returns!$C$11*(1+(0.4-1)*0.15)*Assumptions!$D$73/0.07</f>
        <v/>
      </c>
      <c r="F19" s="58">
        <f>LP_Returns!$C$11*(1+(0.4-1)*0.15)*Assumptions!$D$73/0.075</f>
        <v/>
      </c>
      <c r="G19" s="58">
        <f>LP_Returns!$C$11*(1+(0.4-1)*0.15)*Assumptions!$D$73/0.08</f>
        <v/>
      </c>
      <c r="H19" s="58">
        <f>LP_Returns!$C$11*(1+(0.4-1)*0.15)*Assumptions!$D$73/0.085</f>
        <v/>
      </c>
    </row>
    <row r="20">
      <c r="B20" s="49" t="n">
        <v>0.6</v>
      </c>
      <c r="C20" s="58">
        <f>LP_Returns!$C$11*(1+(0.6-1)*0.15)*Assumptions!$D$73/0.06</f>
        <v/>
      </c>
      <c r="D20" s="58">
        <f>LP_Returns!$C$11*(1+(0.6-1)*0.15)*Assumptions!$D$73/0.065</f>
        <v/>
      </c>
      <c r="E20" s="58">
        <f>LP_Returns!$C$11*(1+(0.6-1)*0.15)*Assumptions!$D$73/0.07</f>
        <v/>
      </c>
      <c r="F20" s="58">
        <f>LP_Returns!$C$11*(1+(0.6-1)*0.15)*Assumptions!$D$73/0.075</f>
        <v/>
      </c>
      <c r="G20" s="58">
        <f>LP_Returns!$C$11*(1+(0.6-1)*0.15)*Assumptions!$D$73/0.08</f>
        <v/>
      </c>
      <c r="H20" s="58">
        <f>LP_Returns!$C$11*(1+(0.6-1)*0.15)*Assumptions!$D$73/0.085</f>
        <v/>
      </c>
    </row>
    <row r="21">
      <c r="B21" s="49" t="n">
        <v>0.8</v>
      </c>
      <c r="C21" s="58">
        <f>LP_Returns!$C$11*(1+(0.8-1)*0.15)*Assumptions!$D$73/0.06</f>
        <v/>
      </c>
      <c r="D21" s="58">
        <f>LP_Returns!$C$11*(1+(0.8-1)*0.15)*Assumptions!$D$73/0.065</f>
        <v/>
      </c>
      <c r="E21" s="58">
        <f>LP_Returns!$C$11*(1+(0.8-1)*0.15)*Assumptions!$D$73/0.07</f>
        <v/>
      </c>
      <c r="F21" s="58">
        <f>LP_Returns!$C$11*(1+(0.8-1)*0.15)*Assumptions!$D$73/0.075</f>
        <v/>
      </c>
      <c r="G21" s="58">
        <f>LP_Returns!$C$11*(1+(0.8-1)*0.15)*Assumptions!$D$73/0.08</f>
        <v/>
      </c>
      <c r="H21" s="58">
        <f>LP_Returns!$C$11*(1+(0.8-1)*0.15)*Assumptions!$D$73/0.085</f>
        <v/>
      </c>
    </row>
    <row r="22">
      <c r="B22" s="49" t="n">
        <v>1</v>
      </c>
      <c r="C22" s="58">
        <f>LP_Returns!$C$11*(1+(1.0-1)*0.15)*Assumptions!$D$73/0.06</f>
        <v/>
      </c>
      <c r="D22" s="58">
        <f>LP_Returns!$C$11*(1+(1.0-1)*0.15)*Assumptions!$D$73/0.065</f>
        <v/>
      </c>
      <c r="E22" s="58">
        <f>LP_Returns!$C$11*(1+(1.0-1)*0.15)*Assumptions!$D$73/0.07</f>
        <v/>
      </c>
      <c r="F22" s="58">
        <f>LP_Returns!$C$11*(1+(1.0-1)*0.15)*Assumptions!$D$73/0.075</f>
        <v/>
      </c>
      <c r="G22" s="58">
        <f>LP_Returns!$C$11*(1+(1.0-1)*0.15)*Assumptions!$D$73/0.08</f>
        <v/>
      </c>
      <c r="H22" s="58">
        <f>LP_Returns!$C$11*(1+(1.0-1)*0.15)*Assumptions!$D$73/0.085</f>
        <v/>
      </c>
    </row>
    <row r="23">
      <c r="B23" s="49" t="n">
        <v>1.2</v>
      </c>
      <c r="C23" s="58">
        <f>LP_Returns!$C$11*(1+(1.2-1)*0.15)*Assumptions!$D$73/0.06</f>
        <v/>
      </c>
      <c r="D23" s="58">
        <f>LP_Returns!$C$11*(1+(1.2-1)*0.15)*Assumptions!$D$73/0.065</f>
        <v/>
      </c>
      <c r="E23" s="58">
        <f>LP_Returns!$C$11*(1+(1.2-1)*0.15)*Assumptions!$D$73/0.07</f>
        <v/>
      </c>
      <c r="F23" s="58">
        <f>LP_Returns!$C$11*(1+(1.2-1)*0.15)*Assumptions!$D$73/0.075</f>
        <v/>
      </c>
      <c r="G23" s="58">
        <f>LP_Returns!$C$11*(1+(1.2-1)*0.15)*Assumptions!$D$73/0.08</f>
        <v/>
      </c>
      <c r="H23" s="58">
        <f>LP_Returns!$C$11*(1+(1.2-1)*0.15)*Assumptions!$D$73/0.085</f>
        <v/>
      </c>
    </row>
  </sheetData>
  <conditionalFormatting sqref="C8:G12">
    <cfRule type="cellIs" priority="1" operator="lessThan" dxfId="3">
      <formula>0.12</formula>
    </cfRule>
    <cfRule type="cellIs" priority="2" operator="greaterThanOrEqual" dxfId="4">
      <formula>0.15</formula>
    </cfRule>
  </conditionalFormatting>
  <conditionalFormatting sqref="C19:H23">
    <cfRule type="cellIs" priority="3" operator="lessThan" dxfId="3">
      <formula>1.7</formula>
    </cfRule>
    <cfRule type="cellIs" priority="4" operator="greaterThanOrEqual" dxfId="4">
      <formula>2.0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38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3" t="inlineStr">
        <is>
          <t>RISK DISCLOSURES — Per Information Memorandum §8</t>
        </is>
      </c>
    </row>
    <row r="3">
      <c r="B3" s="5" t="inlineStr">
        <is>
          <t>All risks below apply to LP investment in the fund. Read in conjunction with final fund documents and Sharia board pronouncement.</t>
        </is>
      </c>
    </row>
    <row r="5">
      <c r="B5" s="4" t="inlineStr">
        <is>
          <t>8.1 RESTRUCTURING RISKS</t>
        </is>
      </c>
    </row>
    <row r="6">
      <c r="B6" s="50" t="inlineStr">
        <is>
          <t>• Settlement failure: if any creditor rejects the negotiated settlement, the debt-clearance mechanism breaks down. The fund will not close without binding LOIs / settlement agreements from all material creditors.</t>
        </is>
      </c>
    </row>
    <row r="7">
      <c r="B7" s="50" t="inlineStr">
        <is>
          <t>• Concurrent enforcement: if any court issues an enforcement order before fund closing, assets earmarked for the fund may be frozen. The fund will only accept assets free of liens.</t>
        </is>
      </c>
    </row>
    <row r="8">
      <c r="B8" s="50" t="inlineStr">
        <is>
          <t>• Personal guarantees: if the sponsor's personal guarantees are linked to portfolio assets, claims may arise during or after transfer. Full legal due diligence required.</t>
        </is>
      </c>
    </row>
    <row r="10">
      <c r="B10" s="4" t="inlineStr">
        <is>
          <t>8.2 ASSET-SPECIFIC RISKS</t>
        </is>
      </c>
    </row>
    <row r="11">
      <c r="B11" s="50" t="inlineStr">
        <is>
          <t>• Geographic concentration: &gt;60% of portfolio value sits in Mecca. Exposure to local regulatory changes, expansion of Holy Mosque area, expropriation for major projects.</t>
        </is>
      </c>
    </row>
    <row r="12">
      <c r="B12" s="50" t="inlineStr">
        <is>
          <t>• Income concentration: Al-Hafayer Hotel generates 41% of total rental income. Any disruption (renewal terms, tenant default, hotel closure) materially impacts distributions.</t>
        </is>
      </c>
    </row>
    <row r="13">
      <c r="B13" s="50" t="inlineStr">
        <is>
          <t>• Stale valuations: RE-001 (largest asset) valuation dates to 2017. Six properties lack updated appraisals.</t>
        </is>
      </c>
    </row>
    <row r="14">
      <c r="B14" s="50" t="inlineStr">
        <is>
          <t>• Vacant land tax: white-land tax in Mecca may impose annual costs in the low millions of SAR.</t>
        </is>
      </c>
    </row>
    <row r="16">
      <c r="B16" s="4" t="inlineStr">
        <is>
          <t>8.3 MARKET &amp; ECONOMIC RISKS</t>
        </is>
      </c>
    </row>
    <row r="17">
      <c r="B17" s="50" t="inlineStr">
        <is>
          <t>• Real estate price volatility in KSA, particularly for land assets.</t>
        </is>
      </c>
    </row>
    <row r="18">
      <c r="B18" s="50" t="inlineStr">
        <is>
          <t>• Mecca regulatory environment is dynamic — Haram expansions, urban redesign, expropriation possibilities.</t>
        </is>
      </c>
    </row>
    <row r="19">
      <c r="B19" s="50" t="inlineStr">
        <is>
          <t>• Interest-rate environment affects exit cap rates and asset valuations.</t>
        </is>
      </c>
    </row>
    <row r="21">
      <c r="B21" s="4" t="inlineStr">
        <is>
          <t>8.4 OPERATIONAL RISKS</t>
        </is>
      </c>
    </row>
    <row r="22">
      <c r="B22" s="50" t="inlineStr">
        <is>
          <t>• Fund manager dependence — manager replacement is possible but procedural.</t>
        </is>
      </c>
    </row>
    <row r="23">
      <c r="B23" s="50" t="inlineStr">
        <is>
          <t>• Tenant vacancies, late collection, lease disputes.</t>
        </is>
      </c>
    </row>
    <row r="24">
      <c r="B24" s="50" t="inlineStr">
        <is>
          <t>• Unexpected capital expenditure, especially for the hotel and older buildings.</t>
        </is>
      </c>
    </row>
    <row r="26">
      <c r="B26" s="4" t="inlineStr">
        <is>
          <t>8.5 LIQUIDITY RISKS</t>
        </is>
      </c>
    </row>
    <row r="27">
      <c r="B27" s="50" t="inlineStr">
        <is>
          <t>• Closed-end vehicle — no formal secondary market for fund units during fund life.</t>
        </is>
      </c>
    </row>
    <row r="28">
      <c r="B28" s="50" t="inlineStr">
        <is>
          <t>• Early exit requires LP-level transactions or LP-to-LP transfers, subject to manager consent.</t>
        </is>
      </c>
    </row>
    <row r="30">
      <c r="B30" s="4" t="inlineStr">
        <is>
          <t>8.6 TAX &amp; ZAKAT RISKS</t>
        </is>
      </c>
    </row>
    <row r="31">
      <c r="B31" s="50" t="inlineStr">
        <is>
          <t>• Annual zakat liability on fund base.</t>
        </is>
      </c>
    </row>
    <row r="32">
      <c r="B32" s="50" t="inlineStr">
        <is>
          <t>• RETT 5% on asset sales.</t>
        </is>
      </c>
    </row>
    <row r="33">
      <c r="B33" s="50" t="inlineStr">
        <is>
          <t>• VAT applies on certain services.</t>
        </is>
      </c>
    </row>
    <row r="34">
      <c r="B34" s="50" t="inlineStr">
        <is>
          <t>• White-land tax if applicable classification triggered.</t>
        </is>
      </c>
    </row>
    <row r="36">
      <c r="B36" s="4" t="inlineStr">
        <is>
          <t>8.7 SHARIA RISKS</t>
        </is>
      </c>
    </row>
    <row r="37">
      <c r="B37" s="50" t="inlineStr">
        <is>
          <t>• Existing bank debt is conventional (interest-bearing). Settlement or conversion to Islamic structures required prior to final asset transfer.</t>
        </is>
      </c>
    </row>
    <row r="38">
      <c r="B38" s="50" t="inlineStr">
        <is>
          <t>• Mixed income (where applicable) subject to annual purification per Sharia board.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5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6" t="inlineStr">
        <is>
          <t>INVESTMENT COMMITTEE MEMO — Bin Amer Real Estate Fund v6.0</t>
        </is>
      </c>
    </row>
    <row r="3">
      <c r="B3" s="2" t="inlineStr">
        <is>
          <t>Prepared for: LP Investment Committee</t>
        </is>
      </c>
    </row>
    <row r="4">
      <c r="B4" s="51" t="inlineStr">
        <is>
          <t>Status: For qualified-investor discussion only — non-binding</t>
        </is>
      </c>
    </row>
    <row r="6">
      <c r="B6" s="4" t="inlineStr">
        <is>
          <t>1. EXECUTIVE RECOMMENDATION</t>
        </is>
      </c>
    </row>
    <row r="7">
      <c r="B7" s="52" t="inlineStr">
        <is>
          <t>PROCEED TO DUE DILIGENCE — subject to verification of the 7 conditions in §6.</t>
        </is>
      </c>
    </row>
    <row r="8">
      <c r="B8" s="50" t="inlineStr">
        <is>
          <t>The proposed structure is institutionally credible: an unleveraged 5-year closed-end private RE fund, sponsor-aligned via in-kind contribution, with a clear use-of-proceeds (60% debt settle / 25% activation / 15% reserves &amp; setup). Pre-DD targets (LP IRR 12–15%, MOIC 1.7–2.0x, Cash-on-Cash 6–8%) are achievable IF the 30% creditor haircut is binding and activation timeline holds.</t>
        </is>
      </c>
    </row>
    <row r="10">
      <c r="B10" s="4" t="inlineStr">
        <is>
          <t>2. DEAL HIGHLIGHTS</t>
        </is>
      </c>
    </row>
    <row r="11">
      <c r="B11" s="50" t="inlineStr">
        <is>
          <t>• Fund size SAR 230–300M; sponsor contributes assets net of debt (SAR 130–170M); LPs commit SAR 100–130M cash.</t>
        </is>
      </c>
    </row>
    <row r="12">
      <c r="B12" s="50" t="inlineStr">
        <is>
          <t>• 29-property portfolio includes income-stable anchors (hotel, warehouses, gas stations) + activation upside (4 idle assets, ~SAR 2.8M/yr potential).</t>
        </is>
      </c>
    </row>
    <row r="13">
      <c r="B13" s="50" t="inlineStr">
        <is>
          <t>• Negotiated debt settlement at 30% haircut creates ~SAR 30M of equity value for the fund at closing.</t>
        </is>
      </c>
    </row>
    <row r="14">
      <c r="B14" s="50" t="inlineStr">
        <is>
          <t>• Unleveraged at fund level — no refinancing risk; LLCR/PLCR not applicable.</t>
        </is>
      </c>
    </row>
    <row r="15">
      <c r="B15" s="50" t="inlineStr">
        <is>
          <t>• European waterfall with 8% LP pref + GP catch-up + 80/20 carry.</t>
        </is>
      </c>
    </row>
    <row r="16">
      <c r="B16" s="50" t="inlineStr">
        <is>
          <t>• Sharia-compliant — independent Sharia board; legacy conventional debt to be cleared via settlement (not converted).</t>
        </is>
      </c>
    </row>
    <row r="17">
      <c r="B17" s="50" t="inlineStr">
        <is>
          <t>• CMA-licensed manager, custodian, valuer (Tagheem), independent board.</t>
        </is>
      </c>
    </row>
    <row r="19">
      <c r="B19" s="4" t="inlineStr">
        <is>
          <t>3. KEY RISKS</t>
        </is>
      </c>
    </row>
    <row r="20">
      <c r="B20" s="50" t="inlineStr">
        <is>
          <t>• Creditor settlement risk: 30% haircut assumes all-creditor consent. Pre-fund LOIs from major creditors must be in place before final close.</t>
        </is>
      </c>
    </row>
    <row r="21">
      <c r="B21" s="50" t="inlineStr">
        <is>
          <t>• Mecca regulatory / expropriation risk: &gt;60% of value in Mecca; expansion and reorganization projects have historically displaced property owners.</t>
        </is>
      </c>
    </row>
    <row r="22">
      <c r="B22" s="50" t="inlineStr">
        <is>
          <t>• Hotel concentration: 41% of total income from Al-Hafayer Hotel. Renewal of hotel-operator contract with bank guarantees required.</t>
        </is>
      </c>
    </row>
    <row r="23">
      <c r="B23" s="50" t="inlineStr">
        <is>
          <t>• Vacant-land tax exposure: white-land tax may impose SAR 1–2M/yr.</t>
        </is>
      </c>
    </row>
    <row r="24">
      <c r="B24" s="50" t="inlineStr">
        <is>
          <t>• Activation execution: SAR 2.8M/yr of incremental income depends on leasing-up RE-006, RE-018, RE-020, RE-029 within 6 months — title and ownership clarification needed for RE-018 (Hajj Tower).</t>
        </is>
      </c>
    </row>
    <row r="25">
      <c r="B25" s="50" t="inlineStr">
        <is>
          <t>• Old / missing valuations: 6 properties lack updated appraisals; portfolio NAV may be revised downward post-DD.</t>
        </is>
      </c>
    </row>
    <row r="26">
      <c r="B26" s="50" t="inlineStr">
        <is>
          <t>• Sponsor restructuring: sponsor's broader financial position requires DD.</t>
        </is>
      </c>
    </row>
    <row r="28">
      <c r="B28" s="4" t="inlineStr">
        <is>
          <t>4. RETURN EXPECTATIONS (base case)</t>
        </is>
      </c>
    </row>
    <row r="29">
      <c r="B29" s="50" t="inlineStr">
        <is>
          <t>See LP_Returns sheet. Base case targets are met if: (a) haircut settlement completes at 30%; (b) activation income reaches steady state by Y2; (c) Mecca regulatory environment stable; (d) 3% asset appreciation per annum holds.</t>
        </is>
      </c>
    </row>
    <row r="31">
      <c r="B31" s="4" t="inlineStr">
        <is>
          <t>5. STRESS TEST OUTCOMES (see Stress_Tests)</t>
        </is>
      </c>
    </row>
    <row r="32">
      <c r="B32" s="50" t="inlineStr">
        <is>
          <t>• Base case: meets IRR + MOIC + CoC targets.</t>
        </is>
      </c>
    </row>
    <row r="33">
      <c r="B33" s="50" t="inlineStr">
        <is>
          <t>• Downside (haircut 20%, 20% hotel loss, 1-yr activation delay): MARGINAL.</t>
        </is>
      </c>
    </row>
    <row r="34">
      <c r="B34" s="50" t="inlineStr">
        <is>
          <t>• Severe (haircut 15%, 50% hotel loss, 2-yr delay, +150bps exit cap): REJECT — IRR drops below 8%.</t>
        </is>
      </c>
    </row>
    <row r="35">
      <c r="B35" s="50" t="inlineStr">
        <is>
          <t>• Stress (haircut 10%, 80% hotel loss, 3-yr delay, regulatory hit): REJECT — multiple downside scenarios coincide.</t>
        </is>
      </c>
    </row>
    <row r="36">
      <c r="B36" s="50" t="inlineStr">
        <is>
          <t>• Upside (haircut 35%, full activation, 5% appreciation, -25bps cap): EXCEEDS targets.</t>
        </is>
      </c>
    </row>
    <row r="38">
      <c r="B38" s="4" t="inlineStr">
        <is>
          <t>6. CONDITIONS FOR LP COMMITMENT (must-have)</t>
        </is>
      </c>
    </row>
    <row r="39">
      <c r="B39" s="50" t="inlineStr">
        <is>
          <t>1. Binding settlement LOIs from creditors covering ≥ 90% of face debt at haircut ≥ 25%, executed BEFORE final fund close.</t>
        </is>
      </c>
    </row>
    <row r="40">
      <c r="B40" s="50" t="inlineStr">
        <is>
          <t>2. Independent valuations (CMA-registered) for ALL 29 properties, dated within 6 months of close.</t>
        </is>
      </c>
    </row>
    <row r="41">
      <c r="B41" s="50" t="inlineStr">
        <is>
          <t>3. Title and ownership clarity for RE-018 (Hajj Tower) — if unresolved, exclude from fund.</t>
        </is>
      </c>
    </row>
    <row r="42">
      <c r="B42" s="50" t="inlineStr">
        <is>
          <t>4. Hotel-operator (Al-Hafayer) renewal with bank guarantees ≥ 12 months of rent.</t>
        </is>
      </c>
    </row>
    <row r="43">
      <c r="B43" s="50" t="inlineStr">
        <is>
          <t>5. Big-4 Zakat opinion confirming ≥ 70% property shelter.</t>
        </is>
      </c>
    </row>
    <row r="44">
      <c r="B44" s="50" t="inlineStr">
        <is>
          <t>6. Independent Sharia board appointed and approved by 3-member panel.</t>
        </is>
      </c>
    </row>
    <row r="45">
      <c r="B45" s="50" t="inlineStr">
        <is>
          <t>7. Sponsor full disclosure of all litigation, personal guarantees, off-balance-sheet liabilities in data room (audited where possible).</t>
        </is>
      </c>
    </row>
    <row r="47">
      <c r="B47" s="4" t="inlineStr">
        <is>
          <t>7. WATERFALL ECONOMICS (LP-friendly)</t>
        </is>
      </c>
    </row>
    <row r="48">
      <c r="B48" s="50" t="inlineStr">
        <is>
          <t>European waterfall. LP receives 8% preferred return on invested capital before any GP carry. GP catches up to 20% of profits, then 80/20 split. At exit, LP capital is returned in full before profit split. This is the standard structure for KSA private RE funds and aligns LP/GP incentives.</t>
        </is>
      </c>
    </row>
    <row r="50">
      <c r="B50" s="4" t="inlineStr">
        <is>
          <t>8. SIGN-OFF</t>
        </is>
      </c>
    </row>
    <row r="51">
      <c r="B51" s="5" t="inlineStr">
        <is>
          <t>Prepared by: Independent Institutional Underwriting Review</t>
        </is>
      </c>
    </row>
    <row r="52">
      <c r="B52" s="53" t="inlineStr">
        <is>
          <t>Recommendation: PROCEED TO DUE DILIGENCE subject to the 7 conditions in §6. Conditional LP commitment subject to final fund documents and Sharia approval.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18" customWidth="1" min="4" max="4"/>
    <col width="14" customWidth="1" min="5" max="5"/>
  </cols>
  <sheetData>
    <row r="2">
      <c r="B2" s="13" t="inlineStr">
        <is>
          <t>MODEL INTEGRITY CHECKS</t>
        </is>
      </c>
    </row>
    <row r="3">
      <c r="B3" s="5" t="inlineStr">
        <is>
          <t>All checks must return OK before model is used for IC.</t>
        </is>
      </c>
    </row>
    <row r="5">
      <c r="B5" s="29" t="inlineStr">
        <is>
          <t>Check</t>
        </is>
      </c>
      <c r="C5" s="24" t="inlineStr">
        <is>
          <t>Expected</t>
        </is>
      </c>
      <c r="D5" s="24" t="inlineStr">
        <is>
          <t>Actual</t>
        </is>
      </c>
      <c r="E5" s="24" t="inlineStr">
        <is>
          <t>Status</t>
        </is>
      </c>
    </row>
    <row r="6">
      <c r="B6" s="3" t="inlineStr">
        <is>
          <t>Sources = Uses (S&amp;U tie-out)</t>
        </is>
      </c>
      <c r="C6" s="54">
        <f>Sources_Uses!$C$8</f>
        <v/>
      </c>
      <c r="D6" s="54">
        <f>Assumptions!$D$17+Assumptions!$D$16</f>
        <v/>
      </c>
      <c r="E6" s="15">
        <f>IF(ABS(D6-C6)&lt;10,"OK","REVIEW")</f>
        <v/>
      </c>
    </row>
    <row r="7">
      <c r="B7" s="3" t="inlineStr">
        <is>
          <t>LP cash used = LP cash committed</t>
        </is>
      </c>
      <c r="C7" s="54">
        <f>Assumptions!$D$17</f>
        <v/>
      </c>
      <c r="D7" s="54">
        <f>Sources_Uses!$C$15</f>
        <v/>
      </c>
      <c r="E7" s="15">
        <f>IF(ABS(D7-C7)&lt;10,"OK","REVIEW")</f>
        <v/>
      </c>
    </row>
    <row r="8">
      <c r="B8" s="3" t="inlineStr">
        <is>
          <t>Total use shares sum to 100%</t>
        </is>
      </c>
      <c r="C8" s="54">
        <f>1</f>
        <v/>
      </c>
      <c r="D8" s="54">
        <f>Assumptions!$D$27</f>
        <v/>
      </c>
      <c r="E8" s="15">
        <f>IF(ABS(D8-C8)&lt;0.005,"OK","REVIEW")</f>
        <v/>
      </c>
    </row>
    <row r="9">
      <c r="B9" s="3" t="inlineStr">
        <is>
          <t>Debt settlement sufficient (LP earmark ≥ need)</t>
        </is>
      </c>
      <c r="C9" s="54" t="inlineStr">
        <is>
          <t>"OK"</t>
        </is>
      </c>
      <c r="D9" s="54">
        <f>IF(Assumptions!$D$35&gt;=0,"OK","SHORTFALL")</f>
        <v/>
      </c>
      <c r="E9" s="15">
        <f>D9</f>
        <v/>
      </c>
    </row>
    <row r="10">
      <c r="B10" s="3" t="inlineStr">
        <is>
          <t>Portfolio value matches IM (SAR 242.4M ± 1M)</t>
        </is>
      </c>
      <c r="C10" s="54">
        <f>242413692</f>
        <v/>
      </c>
      <c r="D10" s="54">
        <f>Assumptions!$D$10</f>
        <v/>
      </c>
      <c r="E10" s="15">
        <f>IF(ABS(D10-C10)&lt;1000000,"OK","REVIEW")</f>
        <v/>
      </c>
    </row>
    <row r="11">
      <c r="B11" s="3" t="inlineStr">
        <is>
          <t>Current rental matches IM (SAR 9.82M ± 100K)</t>
        </is>
      </c>
      <c r="C11" s="54">
        <f>9817600</f>
        <v/>
      </c>
      <c r="D11" s="54">
        <f>Assumptions!$D$11</f>
        <v/>
      </c>
      <c r="E11" s="15">
        <f>IF(ABS(D11-C11)&lt;100000,"OK","REVIEW")</f>
        <v/>
      </c>
    </row>
    <row r="12">
      <c r="B12" s="3" t="inlineStr">
        <is>
          <t>LP MOIC ≥ target 1.7x</t>
        </is>
      </c>
      <c r="C12" s="54">
        <f>1.7</f>
        <v/>
      </c>
      <c r="D12" s="54">
        <f>LP_Returns!$C$11</f>
        <v/>
      </c>
      <c r="E12" s="15">
        <f>IF(D12&gt;=C12,"OK","BELOW TARGET")</f>
        <v/>
      </c>
    </row>
    <row r="13">
      <c r="B13" s="3" t="inlineStr">
        <is>
          <t>LP IRR ≥ target 12%</t>
        </is>
      </c>
      <c r="C13" s="54">
        <f>0.12</f>
        <v/>
      </c>
      <c r="D13" s="54">
        <f>LP_Returns!$C$12</f>
        <v/>
      </c>
      <c r="E13" s="15">
        <f>IF(D13&gt;=C13,"OK","BELOW TARGET")</f>
        <v/>
      </c>
    </row>
    <row r="14">
      <c r="B14" s="3" t="inlineStr">
        <is>
          <t>Fund unleveraged at fund level (no senior debt)</t>
        </is>
      </c>
      <c r="C14" s="54" t="inlineStr">
        <is>
          <t>"NO DEBT"</t>
        </is>
      </c>
      <c r="D14" s="54" t="inlineStr">
        <is>
          <t>"NO DEBT"</t>
        </is>
      </c>
      <c r="E14" s="15" t="inlineStr">
        <is>
          <t>"OK"</t>
        </is>
      </c>
    </row>
    <row r="15">
      <c r="B15" s="3" t="inlineStr">
        <is>
          <t>Waterfall ties (LP+GP = cash distributed)</t>
        </is>
      </c>
      <c r="C15" s="54">
        <f>Waterfall!$H$7</f>
        <v/>
      </c>
      <c r="D15" s="54">
        <f>Waterfall!$H$22+Waterfall!$H$23</f>
        <v/>
      </c>
      <c r="E15" s="15">
        <f>IF(ABS(D15-C15)&lt;10,"OK","REVIEW")</f>
        <v/>
      </c>
    </row>
    <row r="16">
      <c r="B16" s="3" t="inlineStr">
        <is>
          <t>Hotel income concentration (≤ 50%)</t>
        </is>
      </c>
      <c r="C16" s="54">
        <f>0.50</f>
        <v/>
      </c>
      <c r="D16" s="54">
        <f>4000000/Assumptions!$D$11</f>
        <v/>
      </c>
      <c r="E16" s="15">
        <f>IF(D16&lt;=C16,"OK","CONCENTRATION RISK")</f>
        <v/>
      </c>
    </row>
    <row r="17">
      <c r="B17" s="3" t="inlineStr">
        <is>
          <t>Mecca exposure (memo only)</t>
        </is>
      </c>
      <c r="C17" s="54" t="inlineStr">
        <is>
          <t>≥ 60%</t>
        </is>
      </c>
      <c r="D17" s="54" t="inlineStr">
        <is>
          <t>"&gt;60%"</t>
        </is>
      </c>
      <c r="E17" s="15" t="inlineStr">
        <is>
          <t>"NOTE"</t>
        </is>
      </c>
    </row>
    <row r="21">
      <c r="B21" s="4" t="inlineStr">
        <is>
          <t>AUDIT SUMMARY</t>
        </is>
      </c>
    </row>
    <row r="22">
      <c r="B22" t="inlineStr">
        <is>
          <t>Total OK</t>
        </is>
      </c>
      <c r="C22" s="11">
        <f>COUNTIF(E6:E20,"OK")</f>
        <v/>
      </c>
    </row>
    <row r="23">
      <c r="B23" t="inlineStr">
        <is>
          <t>Total REVIEW</t>
        </is>
      </c>
      <c r="C23" s="11">
        <f>COUNTIF(E6:E20,"REVIEW")+COUNTIF(E6:E20,"BELOW TARGET")+COUNTIF(E6:E20,"CONCENTRATION RISK")</f>
        <v/>
      </c>
    </row>
    <row r="24">
      <c r="B24" t="inlineStr">
        <is>
          <t>Total ERROR (shortfall)</t>
        </is>
      </c>
      <c r="C24" s="11">
        <f>COUNTIF(E6:E20,"SHORTFALL")</f>
        <v/>
      </c>
    </row>
  </sheetData>
  <conditionalFormatting sqref="E6:E20">
    <cfRule type="cellIs" priority="1" operator="equal" dxfId="0">
      <formula>"OK"</formula>
    </cfRule>
    <cfRule type="cellIs" priority="2" operator="equal" dxfId="2">
      <formula>"REVIEW"</formula>
    </cfRule>
    <cfRule type="cellIs" priority="3" operator="equal" dxfId="2">
      <formula>"BELOW TARGET"</formula>
    </cfRule>
    <cfRule type="cellIs" priority="4" operator="equal" dxfId="1">
      <formula>"SHORTFALL"</formula>
    </cfRule>
    <cfRule type="cellIs" priority="5" operator="equal" dxfId="2">
      <formula>"CONCENTRATION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2026-05-20T05:41:37Z</dcterms:created>
  <dcterms:modified xmlns:dcterms="http://purl.org/dc/terms/" xmlns:xsi="http://www.w3.org/2001/XMLSchema-instance" xsi:type="dcterms:W3CDTF">2026-05-20T05:46:56Z</dcterms:modified>
</cp:coreProperties>
</file>