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mmed\Downloads\"/>
    </mc:Choice>
  </mc:AlternateContent>
  <xr:revisionPtr revIDLastSave="0" documentId="11_2BC0394395E6384D3B30AE9349D536F7346100B8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Cover" sheetId="1" r:id="rId1"/>
    <sheet name="Assumptions" sheetId="2" r:id="rId2"/>
    <sheet name="Timeline" sheetId="3" r:id="rId3"/>
    <sheet name="Revenue" sheetId="4" r:id="rId4"/>
    <sheet name="OpEx_CapEx" sheetId="5" r:id="rId5"/>
    <sheet name="Debt" sheetId="6" r:id="rId6"/>
    <sheet name="Tax" sheetId="7" r:id="rId7"/>
    <sheet name="Cash_Flow" sheetId="8" r:id="rId8"/>
    <sheet name="DCF" sheetId="9" r:id="rId9"/>
    <sheet name="Returns" sheetId="10" r:id="rId10"/>
    <sheet name="Scenarios" sheetId="11" r:id="rId11"/>
    <sheet name="Sensitivity" sheetId="12" r:id="rId12"/>
    <sheet name="Audit" sheetId="13" r:id="rId13"/>
    <sheet name="Dashboard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3" l="1"/>
  <c r="C16" i="13"/>
  <c r="C15" i="13"/>
  <c r="C14" i="13"/>
  <c r="C9" i="13"/>
  <c r="C17" i="12"/>
  <c r="H16" i="12"/>
  <c r="H17" i="12" s="1"/>
  <c r="G16" i="12"/>
  <c r="G17" i="12" s="1"/>
  <c r="F16" i="12"/>
  <c r="F17" i="12" s="1"/>
  <c r="E16" i="12"/>
  <c r="E17" i="12" s="1"/>
  <c r="D16" i="12"/>
  <c r="D17" i="12" s="1"/>
  <c r="C16" i="12"/>
  <c r="H9" i="12"/>
  <c r="G9" i="12"/>
  <c r="F9" i="12"/>
  <c r="E9" i="12"/>
  <c r="D9" i="12"/>
  <c r="C9" i="12"/>
  <c r="D18" i="10"/>
  <c r="D8" i="10"/>
  <c r="M10" i="9"/>
  <c r="E10" i="9"/>
  <c r="D10" i="9"/>
  <c r="M9" i="9"/>
  <c r="K9" i="9"/>
  <c r="K13" i="7" s="1"/>
  <c r="K14" i="8" s="1"/>
  <c r="H9" i="9"/>
  <c r="H10" i="9" s="1"/>
  <c r="F9" i="9"/>
  <c r="D9" i="9"/>
  <c r="N8" i="9"/>
  <c r="M8" i="9"/>
  <c r="L8" i="9"/>
  <c r="K8" i="9"/>
  <c r="J8" i="9"/>
  <c r="I8" i="9"/>
  <c r="H8" i="9"/>
  <c r="G8" i="9"/>
  <c r="F8" i="9"/>
  <c r="E8" i="9"/>
  <c r="D8" i="9"/>
  <c r="N7" i="9"/>
  <c r="M7" i="9"/>
  <c r="L7" i="9"/>
  <c r="L9" i="9" s="1"/>
  <c r="L10" i="9" s="1"/>
  <c r="K7" i="9"/>
  <c r="J7" i="9"/>
  <c r="J9" i="9" s="1"/>
  <c r="I7" i="9"/>
  <c r="I9" i="9" s="1"/>
  <c r="I10" i="9" s="1"/>
  <c r="H7" i="9"/>
  <c r="G7" i="9"/>
  <c r="G9" i="9" s="1"/>
  <c r="F7" i="9"/>
  <c r="E7" i="9"/>
  <c r="E9" i="9" s="1"/>
  <c r="D7" i="9"/>
  <c r="M6" i="9"/>
  <c r="L6" i="9"/>
  <c r="K6" i="9"/>
  <c r="J6" i="9"/>
  <c r="I6" i="9"/>
  <c r="H6" i="9"/>
  <c r="G6" i="9"/>
  <c r="F6" i="9"/>
  <c r="E6" i="9"/>
  <c r="D6" i="9"/>
  <c r="N4" i="9"/>
  <c r="M4" i="9"/>
  <c r="L4" i="9"/>
  <c r="K4" i="9"/>
  <c r="J4" i="9"/>
  <c r="I4" i="9"/>
  <c r="H4" i="9"/>
  <c r="G4" i="9"/>
  <c r="F4" i="9"/>
  <c r="E4" i="9"/>
  <c r="D4" i="9"/>
  <c r="K23" i="8"/>
  <c r="I23" i="8"/>
  <c r="H23" i="8"/>
  <c r="D23" i="8"/>
  <c r="N22" i="8"/>
  <c r="K22" i="8"/>
  <c r="F22" i="8"/>
  <c r="D22" i="8"/>
  <c r="D21" i="8"/>
  <c r="N20" i="8"/>
  <c r="M20" i="8"/>
  <c r="L20" i="8"/>
  <c r="K20" i="8"/>
  <c r="J20" i="8"/>
  <c r="I20" i="8"/>
  <c r="H20" i="8"/>
  <c r="G20" i="8"/>
  <c r="F20" i="8"/>
  <c r="E20" i="8"/>
  <c r="N19" i="8"/>
  <c r="M19" i="8"/>
  <c r="L19" i="8"/>
  <c r="K19" i="8"/>
  <c r="J19" i="8"/>
  <c r="I19" i="8"/>
  <c r="H19" i="8"/>
  <c r="G19" i="8"/>
  <c r="F19" i="8"/>
  <c r="E19" i="8"/>
  <c r="M14" i="8"/>
  <c r="M13" i="8"/>
  <c r="L13" i="8"/>
  <c r="K13" i="8"/>
  <c r="J13" i="8"/>
  <c r="I13" i="8"/>
  <c r="H13" i="8"/>
  <c r="G13" i="8"/>
  <c r="F13" i="8"/>
  <c r="E13" i="8"/>
  <c r="D13" i="8"/>
  <c r="N4" i="8"/>
  <c r="M4" i="8"/>
  <c r="L4" i="8"/>
  <c r="K4" i="8"/>
  <c r="J4" i="8"/>
  <c r="I4" i="8"/>
  <c r="H4" i="8"/>
  <c r="G4" i="8"/>
  <c r="F4" i="8"/>
  <c r="E4" i="8"/>
  <c r="D4" i="8"/>
  <c r="M13" i="7"/>
  <c r="I13" i="7"/>
  <c r="I14" i="8" s="1"/>
  <c r="D13" i="7"/>
  <c r="D14" i="8" s="1"/>
  <c r="D9" i="7"/>
  <c r="D6" i="7"/>
  <c r="N4" i="7"/>
  <c r="M4" i="7"/>
  <c r="L4" i="7"/>
  <c r="K4" i="7"/>
  <c r="J4" i="7"/>
  <c r="I4" i="7"/>
  <c r="H4" i="7"/>
  <c r="G4" i="7"/>
  <c r="F4" i="7"/>
  <c r="E4" i="7"/>
  <c r="D4" i="7"/>
  <c r="D16" i="6"/>
  <c r="D15" i="6"/>
  <c r="M8" i="6"/>
  <c r="M23" i="8" s="1"/>
  <c r="L8" i="6"/>
  <c r="L23" i="8" s="1"/>
  <c r="K8" i="6"/>
  <c r="J8" i="6"/>
  <c r="J23" i="8" s="1"/>
  <c r="I8" i="6"/>
  <c r="H8" i="6"/>
  <c r="G8" i="6"/>
  <c r="G23" i="8" s="1"/>
  <c r="F8" i="6"/>
  <c r="F23" i="8" s="1"/>
  <c r="E8" i="6"/>
  <c r="E23" i="8" s="1"/>
  <c r="N7" i="6"/>
  <c r="M7" i="6"/>
  <c r="M22" i="8" s="1"/>
  <c r="L7" i="6"/>
  <c r="L22" i="8" s="1"/>
  <c r="K7" i="6"/>
  <c r="J7" i="6"/>
  <c r="J22" i="8" s="1"/>
  <c r="I7" i="6"/>
  <c r="H7" i="6"/>
  <c r="G7" i="6"/>
  <c r="G22" i="8" s="1"/>
  <c r="F7" i="6"/>
  <c r="E7" i="6"/>
  <c r="E22" i="8" s="1"/>
  <c r="N4" i="6"/>
  <c r="M4" i="6"/>
  <c r="L4" i="6"/>
  <c r="K4" i="6"/>
  <c r="J4" i="6"/>
  <c r="I4" i="6"/>
  <c r="H4" i="6"/>
  <c r="G4" i="6"/>
  <c r="F4" i="6"/>
  <c r="E4" i="6"/>
  <c r="D4" i="6"/>
  <c r="N22" i="5"/>
  <c r="M22" i="5"/>
  <c r="L22" i="5"/>
  <c r="K22" i="5"/>
  <c r="J22" i="5"/>
  <c r="I22" i="5"/>
  <c r="H22" i="5"/>
  <c r="G22" i="5"/>
  <c r="F22" i="5"/>
  <c r="E22" i="5"/>
  <c r="D22" i="5"/>
  <c r="D16" i="5"/>
  <c r="L15" i="5"/>
  <c r="D15" i="5"/>
  <c r="J14" i="5"/>
  <c r="I14" i="5"/>
  <c r="G14" i="5"/>
  <c r="D14" i="5"/>
  <c r="N4" i="5"/>
  <c r="M4" i="5"/>
  <c r="L4" i="5"/>
  <c r="K4" i="5"/>
  <c r="J4" i="5"/>
  <c r="I4" i="5"/>
  <c r="H4" i="5"/>
  <c r="G4" i="5"/>
  <c r="F4" i="5"/>
  <c r="E4" i="5"/>
  <c r="D4" i="5"/>
  <c r="E6" i="4"/>
  <c r="D6" i="4"/>
  <c r="D7" i="4" s="1"/>
  <c r="D5" i="4"/>
  <c r="N4" i="4"/>
  <c r="M4" i="4"/>
  <c r="L4" i="4"/>
  <c r="K4" i="4"/>
  <c r="J4" i="4"/>
  <c r="I4" i="4"/>
  <c r="H4" i="4"/>
  <c r="G4" i="4"/>
  <c r="F4" i="4"/>
  <c r="E4" i="4"/>
  <c r="D4" i="4"/>
  <c r="G9" i="3"/>
  <c r="G16" i="5" s="1"/>
  <c r="F9" i="3"/>
  <c r="F8" i="3"/>
  <c r="G8" i="3" s="1"/>
  <c r="G5" i="4" s="1"/>
  <c r="N7" i="3"/>
  <c r="M7" i="3"/>
  <c r="L7" i="3"/>
  <c r="K7" i="3"/>
  <c r="J7" i="3"/>
  <c r="I7" i="3"/>
  <c r="H7" i="3"/>
  <c r="G7" i="3"/>
  <c r="F7" i="3"/>
  <c r="N6" i="3"/>
  <c r="M6" i="3"/>
  <c r="L6" i="3"/>
  <c r="K6" i="3"/>
  <c r="J6" i="3"/>
  <c r="I6" i="3"/>
  <c r="H6" i="3"/>
  <c r="G6" i="3"/>
  <c r="F6" i="3"/>
  <c r="E6" i="3"/>
  <c r="D6" i="3"/>
  <c r="N5" i="3"/>
  <c r="M5" i="3"/>
  <c r="L5" i="3"/>
  <c r="K5" i="3"/>
  <c r="J5" i="3"/>
  <c r="I5" i="3"/>
  <c r="H5" i="3"/>
  <c r="G5" i="3"/>
  <c r="F5" i="3"/>
  <c r="E5" i="3"/>
  <c r="E5" i="4" s="1"/>
  <c r="E7" i="4" s="1"/>
  <c r="N4" i="3"/>
  <c r="M4" i="3"/>
  <c r="L4" i="3"/>
  <c r="K4" i="3"/>
  <c r="J4" i="3"/>
  <c r="I4" i="3"/>
  <c r="H4" i="3"/>
  <c r="G4" i="3"/>
  <c r="F4" i="3"/>
  <c r="E4" i="3"/>
  <c r="D4" i="3"/>
  <c r="D68" i="2"/>
  <c r="N14" i="9" s="1"/>
  <c r="D67" i="2"/>
  <c r="D66" i="2"/>
  <c r="D48" i="2"/>
  <c r="K9" i="7" s="1"/>
  <c r="D47" i="2"/>
  <c r="D12" i="14" s="1"/>
  <c r="D15" i="2"/>
  <c r="D16" i="2" s="1"/>
  <c r="N15" i="5" s="1"/>
  <c r="D8" i="2"/>
  <c r="D6" i="14" s="1"/>
  <c r="D31" i="14"/>
  <c r="D18" i="14"/>
  <c r="D8" i="14"/>
  <c r="D7" i="14"/>
  <c r="D5" i="14"/>
  <c r="E6" i="8" l="1"/>
  <c r="E21" i="5"/>
  <c r="E23" i="5" s="1"/>
  <c r="E6" i="5"/>
  <c r="E7" i="5"/>
  <c r="D7" i="5"/>
  <c r="E8" i="4"/>
  <c r="D6" i="8"/>
  <c r="D21" i="5"/>
  <c r="D23" i="5" s="1"/>
  <c r="D10" i="5"/>
  <c r="D6" i="5"/>
  <c r="G6" i="4"/>
  <c r="G7" i="4"/>
  <c r="H22" i="8"/>
  <c r="G14" i="9"/>
  <c r="E14" i="5"/>
  <c r="M15" i="5"/>
  <c r="I22" i="8"/>
  <c r="J10" i="9"/>
  <c r="J13" i="7"/>
  <c r="J14" i="8" s="1"/>
  <c r="J14" i="9"/>
  <c r="D17" i="14"/>
  <c r="F14" i="5"/>
  <c r="F10" i="9"/>
  <c r="F13" i="7"/>
  <c r="F14" i="8" s="1"/>
  <c r="E15" i="5"/>
  <c r="K13" i="5"/>
  <c r="M14" i="5"/>
  <c r="H13" i="5"/>
  <c r="C7" i="13"/>
  <c r="L14" i="5"/>
  <c r="G13" i="5"/>
  <c r="C6" i="13"/>
  <c r="H8" i="3"/>
  <c r="H14" i="5"/>
  <c r="E16" i="5"/>
  <c r="E9" i="7"/>
  <c r="D15" i="13"/>
  <c r="E15" i="13" s="1"/>
  <c r="H22" i="12"/>
  <c r="F22" i="12"/>
  <c r="C8" i="13"/>
  <c r="E22" i="12"/>
  <c r="D22" i="12"/>
  <c r="C22" i="12"/>
  <c r="C10" i="13"/>
  <c r="H9" i="7"/>
  <c r="H13" i="7"/>
  <c r="H14" i="8" s="1"/>
  <c r="D27" i="10"/>
  <c r="D32" i="14" s="1"/>
  <c r="K14" i="5"/>
  <c r="M9" i="7"/>
  <c r="L13" i="7"/>
  <c r="L14" i="8" s="1"/>
  <c r="N22" i="9"/>
  <c r="M22" i="9"/>
  <c r="J22" i="9"/>
  <c r="I22" i="9"/>
  <c r="H22" i="9"/>
  <c r="F22" i="9"/>
  <c r="E22" i="9"/>
  <c r="D13" i="5"/>
  <c r="D17" i="5" s="1"/>
  <c r="D9" i="8" s="1"/>
  <c r="N14" i="5"/>
  <c r="G22" i="12"/>
  <c r="K10" i="9"/>
  <c r="D6" i="13"/>
  <c r="E6" i="13" s="1"/>
  <c r="F13" i="5"/>
  <c r="F15" i="5"/>
  <c r="D11" i="6"/>
  <c r="D22" i="9"/>
  <c r="F16" i="5"/>
  <c r="I13" i="5"/>
  <c r="G15" i="5"/>
  <c r="G22" i="9"/>
  <c r="J13" i="5"/>
  <c r="H15" i="5"/>
  <c r="D6" i="6"/>
  <c r="D12" i="8"/>
  <c r="D7" i="13" s="1"/>
  <c r="E7" i="13" s="1"/>
  <c r="E13" i="7"/>
  <c r="E14" i="8" s="1"/>
  <c r="K22" i="9"/>
  <c r="L9" i="7"/>
  <c r="J9" i="7"/>
  <c r="I9" i="7"/>
  <c r="G9" i="7"/>
  <c r="F9" i="7"/>
  <c r="N9" i="7"/>
  <c r="E13" i="5"/>
  <c r="H9" i="3"/>
  <c r="F5" i="4"/>
  <c r="L13" i="5"/>
  <c r="I15" i="5"/>
  <c r="L22" i="9"/>
  <c r="F14" i="9"/>
  <c r="D14" i="9"/>
  <c r="D13" i="13"/>
  <c r="E13" i="13" s="1"/>
  <c r="D7" i="10"/>
  <c r="M14" i="9"/>
  <c r="L14" i="9"/>
  <c r="C17" i="13"/>
  <c r="K14" i="9"/>
  <c r="I14" i="9"/>
  <c r="H14" i="9"/>
  <c r="D9" i="14"/>
  <c r="D10" i="14"/>
  <c r="D11" i="14"/>
  <c r="M13" i="5"/>
  <c r="J15" i="5"/>
  <c r="G10" i="9"/>
  <c r="G13" i="7"/>
  <c r="G14" i="8" s="1"/>
  <c r="N13" i="5"/>
  <c r="K15" i="5"/>
  <c r="E14" i="9"/>
  <c r="D7" i="7" l="1"/>
  <c r="D11" i="8"/>
  <c r="F17" i="5"/>
  <c r="F9" i="8" s="1"/>
  <c r="D12" i="6"/>
  <c r="D20" i="8"/>
  <c r="D8" i="13"/>
  <c r="E8" i="13" s="1"/>
  <c r="D19" i="8"/>
  <c r="D9" i="6"/>
  <c r="H5" i="4"/>
  <c r="I8" i="3"/>
  <c r="E8" i="5"/>
  <c r="F6" i="4"/>
  <c r="F7" i="4" s="1"/>
  <c r="I9" i="3"/>
  <c r="H16" i="5"/>
  <c r="H17" i="5" s="1"/>
  <c r="H9" i="8" s="1"/>
  <c r="G7" i="5"/>
  <c r="G6" i="8"/>
  <c r="G21" i="5"/>
  <c r="G23" i="5" s="1"/>
  <c r="G6" i="5"/>
  <c r="G8" i="5" s="1"/>
  <c r="G7" i="8" s="1"/>
  <c r="E11" i="8"/>
  <c r="E7" i="7"/>
  <c r="E17" i="5"/>
  <c r="E9" i="8" s="1"/>
  <c r="G17" i="5"/>
  <c r="G9" i="8" s="1"/>
  <c r="D8" i="5"/>
  <c r="F21" i="5" l="1"/>
  <c r="F23" i="5" s="1"/>
  <c r="F6" i="5"/>
  <c r="G8" i="4"/>
  <c r="F7" i="5"/>
  <c r="F6" i="8"/>
  <c r="F8" i="4"/>
  <c r="G7" i="7"/>
  <c r="G11" i="8"/>
  <c r="D7" i="8"/>
  <c r="D9" i="5"/>
  <c r="D18" i="6" s="1"/>
  <c r="J9" i="3"/>
  <c r="I16" i="5"/>
  <c r="I17" i="5" s="1"/>
  <c r="I9" i="8" s="1"/>
  <c r="E7" i="8"/>
  <c r="E9" i="5"/>
  <c r="H6" i="4"/>
  <c r="H7" i="4" s="1"/>
  <c r="I5" i="4"/>
  <c r="J8" i="3"/>
  <c r="G9" i="5"/>
  <c r="E5" i="6"/>
  <c r="D17" i="6"/>
  <c r="H6" i="8" l="1"/>
  <c r="H21" i="5"/>
  <c r="H23" i="5" s="1"/>
  <c r="H6" i="5"/>
  <c r="H7" i="5"/>
  <c r="H8" i="4"/>
  <c r="D24" i="10"/>
  <c r="H23" i="12"/>
  <c r="D23" i="10"/>
  <c r="D24" i="14" s="1"/>
  <c r="G23" i="12"/>
  <c r="F23" i="12"/>
  <c r="E23" i="12"/>
  <c r="D23" i="12"/>
  <c r="C23" i="12"/>
  <c r="E8" i="8"/>
  <c r="E18" i="5"/>
  <c r="E10" i="5"/>
  <c r="J16" i="5"/>
  <c r="J17" i="5" s="1"/>
  <c r="J9" i="8" s="1"/>
  <c r="K9" i="3"/>
  <c r="E9" i="6"/>
  <c r="E10" i="6"/>
  <c r="I6" i="4"/>
  <c r="I7" i="4"/>
  <c r="F8" i="5"/>
  <c r="K8" i="3"/>
  <c r="J5" i="4"/>
  <c r="F11" i="8"/>
  <c r="F7" i="7"/>
  <c r="D8" i="8"/>
  <c r="D18" i="5"/>
  <c r="G8" i="8"/>
  <c r="G18" i="5"/>
  <c r="G10" i="5"/>
  <c r="I21" i="5" l="1"/>
  <c r="I23" i="5" s="1"/>
  <c r="I6" i="5"/>
  <c r="I7" i="5"/>
  <c r="I6" i="8"/>
  <c r="I8" i="4"/>
  <c r="J6" i="4"/>
  <c r="J7" i="4"/>
  <c r="F7" i="8"/>
  <c r="F9" i="5"/>
  <c r="E21" i="8"/>
  <c r="E15" i="6"/>
  <c r="E6" i="7"/>
  <c r="E16" i="6"/>
  <c r="E12" i="6"/>
  <c r="H8" i="5"/>
  <c r="L9" i="3"/>
  <c r="K16" i="5"/>
  <c r="K17" i="5" s="1"/>
  <c r="K9" i="8" s="1"/>
  <c r="H7" i="7"/>
  <c r="H11" i="8"/>
  <c r="L8" i="3"/>
  <c r="K5" i="4"/>
  <c r="E18" i="6"/>
  <c r="F5" i="6"/>
  <c r="E17" i="6"/>
  <c r="G10" i="8"/>
  <c r="G15" i="8" s="1"/>
  <c r="G5" i="7"/>
  <c r="E5" i="7"/>
  <c r="E10" i="8"/>
  <c r="E15" i="8" s="1"/>
  <c r="D10" i="8"/>
  <c r="D15" i="8" s="1"/>
  <c r="D5" i="7"/>
  <c r="D8" i="7" s="1"/>
  <c r="G13" i="9" l="1"/>
  <c r="G15" i="9" s="1"/>
  <c r="G18" i="8"/>
  <c r="K6" i="4"/>
  <c r="K7" i="4" s="1"/>
  <c r="D18" i="8"/>
  <c r="D13" i="9"/>
  <c r="D15" i="9" s="1"/>
  <c r="E8" i="7"/>
  <c r="F8" i="8"/>
  <c r="F18" i="5"/>
  <c r="F10" i="5"/>
  <c r="F10" i="6"/>
  <c r="F9" i="6"/>
  <c r="M8" i="3"/>
  <c r="L5" i="4"/>
  <c r="I8" i="5"/>
  <c r="E13" i="9"/>
  <c r="E15" i="9" s="1"/>
  <c r="E18" i="8"/>
  <c r="J6" i="8"/>
  <c r="J7" i="5"/>
  <c r="J21" i="5"/>
  <c r="J23" i="5" s="1"/>
  <c r="J6" i="5"/>
  <c r="J8" i="5" s="1"/>
  <c r="J7" i="8" s="1"/>
  <c r="J8" i="4"/>
  <c r="L16" i="5"/>
  <c r="L17" i="5" s="1"/>
  <c r="L9" i="8" s="1"/>
  <c r="M9" i="3"/>
  <c r="H7" i="8"/>
  <c r="H9" i="5"/>
  <c r="D10" i="7"/>
  <c r="D34" i="10"/>
  <c r="D18" i="12"/>
  <c r="F18" i="12"/>
  <c r="E18" i="12"/>
  <c r="H18" i="12"/>
  <c r="C18" i="12"/>
  <c r="G18" i="12"/>
  <c r="D35" i="10"/>
  <c r="I7" i="7"/>
  <c r="I11" i="8"/>
  <c r="K7" i="5" l="1"/>
  <c r="K6" i="8"/>
  <c r="K21" i="5"/>
  <c r="K23" i="5" s="1"/>
  <c r="K6" i="5"/>
  <c r="K8" i="5" s="1"/>
  <c r="K7" i="8" s="1"/>
  <c r="K8" i="4"/>
  <c r="J11" i="8"/>
  <c r="J7" i="7"/>
  <c r="E10" i="7"/>
  <c r="J9" i="5"/>
  <c r="I7" i="8"/>
  <c r="I9" i="5"/>
  <c r="N8" i="3"/>
  <c r="N5" i="4" s="1"/>
  <c r="M5" i="4"/>
  <c r="F15" i="6"/>
  <c r="F16" i="6"/>
  <c r="F21" i="8"/>
  <c r="F6" i="7"/>
  <c r="F12" i="6"/>
  <c r="L6" i="4"/>
  <c r="L7" i="4"/>
  <c r="N9" i="3"/>
  <c r="N16" i="5" s="1"/>
  <c r="N17" i="5" s="1"/>
  <c r="N9" i="8" s="1"/>
  <c r="M16" i="5"/>
  <c r="M17" i="5" s="1"/>
  <c r="M9" i="8" s="1"/>
  <c r="D11" i="7"/>
  <c r="D12" i="7" s="1"/>
  <c r="D24" i="8" s="1"/>
  <c r="D25" i="8" s="1"/>
  <c r="H8" i="8"/>
  <c r="H18" i="5"/>
  <c r="H10" i="5"/>
  <c r="G5" i="6"/>
  <c r="F18" i="6"/>
  <c r="F17" i="6"/>
  <c r="F5" i="7"/>
  <c r="F10" i="8"/>
  <c r="F15" i="8" s="1"/>
  <c r="D15" i="10" l="1"/>
  <c r="D21" i="9"/>
  <c r="D23" i="9" s="1"/>
  <c r="D26" i="8"/>
  <c r="L6" i="8"/>
  <c r="L7" i="5"/>
  <c r="L21" i="5"/>
  <c r="L23" i="5" s="1"/>
  <c r="L6" i="5"/>
  <c r="L8" i="5" s="1"/>
  <c r="L7" i="8" s="1"/>
  <c r="F8" i="7"/>
  <c r="K7" i="7"/>
  <c r="K11" i="8"/>
  <c r="F18" i="8"/>
  <c r="F13" i="9"/>
  <c r="F15" i="9" s="1"/>
  <c r="E12" i="7"/>
  <c r="E24" i="8" s="1"/>
  <c r="M6" i="4"/>
  <c r="M7" i="4" s="1"/>
  <c r="N6" i="4"/>
  <c r="N7" i="4" s="1"/>
  <c r="I8" i="8"/>
  <c r="I18" i="5"/>
  <c r="I10" i="5"/>
  <c r="K9" i="5"/>
  <c r="J8" i="8"/>
  <c r="J18" i="5"/>
  <c r="J10" i="5"/>
  <c r="E11" i="7"/>
  <c r="G9" i="6"/>
  <c r="G10" i="6"/>
  <c r="L8" i="4"/>
  <c r="H5" i="7"/>
  <c r="H10" i="8"/>
  <c r="H15" i="8" s="1"/>
  <c r="N6" i="5" l="1"/>
  <c r="N8" i="5" s="1"/>
  <c r="N7" i="8" s="1"/>
  <c r="N7" i="5"/>
  <c r="N6" i="8"/>
  <c r="N21" i="5"/>
  <c r="N23" i="5" s="1"/>
  <c r="M6" i="8"/>
  <c r="N8" i="4"/>
  <c r="M7" i="5"/>
  <c r="M6" i="5"/>
  <c r="M21" i="5"/>
  <c r="M23" i="5" s="1"/>
  <c r="M8" i="4"/>
  <c r="L7" i="7"/>
  <c r="L11" i="8"/>
  <c r="K8" i="8"/>
  <c r="K18" i="5"/>
  <c r="K10" i="5"/>
  <c r="I10" i="8"/>
  <c r="I15" i="8" s="1"/>
  <c r="I5" i="7"/>
  <c r="F10" i="7"/>
  <c r="L9" i="5"/>
  <c r="H13" i="9"/>
  <c r="H15" i="9" s="1"/>
  <c r="H18" i="8"/>
  <c r="E25" i="8"/>
  <c r="H5" i="6"/>
  <c r="G18" i="6"/>
  <c r="G17" i="6"/>
  <c r="J5" i="7"/>
  <c r="J10" i="8"/>
  <c r="J15" i="8" s="1"/>
  <c r="G6" i="7"/>
  <c r="G8" i="7" s="1"/>
  <c r="G21" i="8"/>
  <c r="G16" i="6"/>
  <c r="G15" i="6"/>
  <c r="G12" i="6"/>
  <c r="M8" i="5" l="1"/>
  <c r="E21" i="9"/>
  <c r="E23" i="9" s="1"/>
  <c r="D22" i="10"/>
  <c r="D23" i="14" s="1"/>
  <c r="M7" i="7"/>
  <c r="M11" i="8"/>
  <c r="F11" i="7"/>
  <c r="F12" i="7" s="1"/>
  <c r="F24" i="8" s="1"/>
  <c r="I18" i="8"/>
  <c r="I13" i="9"/>
  <c r="I15" i="9" s="1"/>
  <c r="E26" i="8"/>
  <c r="G10" i="7"/>
  <c r="K10" i="8"/>
  <c r="K15" i="8" s="1"/>
  <c r="K5" i="7"/>
  <c r="L8" i="8"/>
  <c r="L18" i="5"/>
  <c r="L10" i="5"/>
  <c r="J13" i="9"/>
  <c r="J15" i="9" s="1"/>
  <c r="J18" i="8"/>
  <c r="N11" i="8"/>
  <c r="N7" i="7"/>
  <c r="H10" i="6"/>
  <c r="H9" i="6"/>
  <c r="N9" i="5"/>
  <c r="F25" i="8" l="1"/>
  <c r="F26" i="8"/>
  <c r="K13" i="9"/>
  <c r="K15" i="9" s="1"/>
  <c r="K18" i="8"/>
  <c r="L10" i="8"/>
  <c r="L15" i="8" s="1"/>
  <c r="L5" i="7"/>
  <c r="N8" i="8"/>
  <c r="N6" i="9"/>
  <c r="N18" i="5"/>
  <c r="N10" i="5"/>
  <c r="H18" i="6"/>
  <c r="I5" i="6"/>
  <c r="H17" i="6"/>
  <c r="G11" i="7"/>
  <c r="G12" i="7" s="1"/>
  <c r="G24" i="8" s="1"/>
  <c r="H6" i="7"/>
  <c r="H8" i="7" s="1"/>
  <c r="H21" i="8"/>
  <c r="H16" i="6"/>
  <c r="H15" i="6"/>
  <c r="H12" i="6"/>
  <c r="M7" i="8"/>
  <c r="M9" i="5"/>
  <c r="G25" i="8" l="1"/>
  <c r="G21" i="9" s="1"/>
  <c r="G23" i="9" s="1"/>
  <c r="H10" i="12"/>
  <c r="H11" i="12" s="1"/>
  <c r="G10" i="12"/>
  <c r="G11" i="12" s="1"/>
  <c r="F10" i="12"/>
  <c r="F11" i="12" s="1"/>
  <c r="E10" i="12"/>
  <c r="E11" i="12" s="1"/>
  <c r="C10" i="12"/>
  <c r="C11" i="12" s="1"/>
  <c r="D10" i="12"/>
  <c r="D11" i="12" s="1"/>
  <c r="N9" i="9"/>
  <c r="H10" i="7"/>
  <c r="H11" i="7" s="1"/>
  <c r="N10" i="8"/>
  <c r="N5" i="7"/>
  <c r="M8" i="8"/>
  <c r="M18" i="5"/>
  <c r="M10" i="5"/>
  <c r="L13" i="9"/>
  <c r="L15" i="9" s="1"/>
  <c r="L18" i="8"/>
  <c r="G26" i="8"/>
  <c r="I10" i="6"/>
  <c r="I9" i="6"/>
  <c r="F21" i="9"/>
  <c r="F23" i="9" s="1"/>
  <c r="I18" i="6" l="1"/>
  <c r="J5" i="6"/>
  <c r="I17" i="6"/>
  <c r="H12" i="7"/>
  <c r="H24" i="8" s="1"/>
  <c r="N13" i="7"/>
  <c r="N14" i="8" s="1"/>
  <c r="N10" i="9"/>
  <c r="N13" i="8" s="1"/>
  <c r="D20" i="13"/>
  <c r="E20" i="13" s="1"/>
  <c r="M5" i="7"/>
  <c r="M10" i="8"/>
  <c r="M15" i="8" s="1"/>
  <c r="G12" i="12"/>
  <c r="C12" i="12"/>
  <c r="N15" i="8"/>
  <c r="H12" i="12"/>
  <c r="I15" i="6"/>
  <c r="I16" i="6"/>
  <c r="I21" i="8"/>
  <c r="I6" i="7"/>
  <c r="I8" i="7" s="1"/>
  <c r="I12" i="6"/>
  <c r="H25" i="8" l="1"/>
  <c r="E12" i="12"/>
  <c r="N13" i="9"/>
  <c r="N15" i="9" s="1"/>
  <c r="D11" i="13"/>
  <c r="E11" i="13" s="1"/>
  <c r="N18" i="8"/>
  <c r="D5" i="10"/>
  <c r="F12" i="12"/>
  <c r="J9" i="6"/>
  <c r="J10" i="6"/>
  <c r="I10" i="7"/>
  <c r="M18" i="8"/>
  <c r="M13" i="9"/>
  <c r="M15" i="9" s="1"/>
  <c r="D12" i="12"/>
  <c r="D17" i="9" l="1"/>
  <c r="I11" i="7"/>
  <c r="I12" i="7" s="1"/>
  <c r="I24" i="8" s="1"/>
  <c r="J6" i="7"/>
  <c r="J8" i="7" s="1"/>
  <c r="J15" i="6"/>
  <c r="J16" i="6"/>
  <c r="J21" i="8"/>
  <c r="J12" i="6"/>
  <c r="D9" i="10"/>
  <c r="D17" i="13"/>
  <c r="E17" i="13" s="1"/>
  <c r="D15" i="14"/>
  <c r="H21" i="9"/>
  <c r="H23" i="9" s="1"/>
  <c r="H26" i="8"/>
  <c r="K5" i="6"/>
  <c r="J18" i="6"/>
  <c r="J17" i="6"/>
  <c r="I25" i="8" l="1"/>
  <c r="J10" i="7"/>
  <c r="K9" i="6"/>
  <c r="K10" i="6"/>
  <c r="I26" i="8"/>
  <c r="D11" i="10"/>
  <c r="D18" i="13"/>
  <c r="E18" i="13" s="1"/>
  <c r="D18" i="9"/>
  <c r="D19" i="14"/>
  <c r="K18" i="6" l="1"/>
  <c r="L5" i="6"/>
  <c r="K17" i="6"/>
  <c r="K6" i="7"/>
  <c r="K8" i="7" s="1"/>
  <c r="K16" i="6"/>
  <c r="K21" i="8"/>
  <c r="K12" i="6"/>
  <c r="K15" i="6"/>
  <c r="J11" i="7"/>
  <c r="J12" i="7" s="1"/>
  <c r="J24" i="8" s="1"/>
  <c r="J25" i="8" s="1"/>
  <c r="I21" i="9"/>
  <c r="I23" i="9" s="1"/>
  <c r="J21" i="9" l="1"/>
  <c r="J23" i="9" s="1"/>
  <c r="J26" i="8"/>
  <c r="L10" i="6"/>
  <c r="L9" i="6"/>
  <c r="K10" i="7"/>
  <c r="K11" i="7" s="1"/>
  <c r="L15" i="6" l="1"/>
  <c r="L21" i="8"/>
  <c r="L16" i="6"/>
  <c r="L6" i="7"/>
  <c r="L8" i="7" s="1"/>
  <c r="L12" i="6"/>
  <c r="K12" i="7"/>
  <c r="K24" i="8" s="1"/>
  <c r="K25" i="8" s="1"/>
  <c r="K21" i="9" s="1"/>
  <c r="K23" i="9" s="1"/>
  <c r="L18" i="6"/>
  <c r="M5" i="6"/>
  <c r="L17" i="6"/>
  <c r="M9" i="6" l="1"/>
  <c r="M10" i="6"/>
  <c r="K26" i="8"/>
  <c r="L11" i="7"/>
  <c r="L10" i="7"/>
  <c r="M6" i="7" l="1"/>
  <c r="M8" i="7" s="1"/>
  <c r="M15" i="6"/>
  <c r="M21" i="8"/>
  <c r="M16" i="6"/>
  <c r="M12" i="6"/>
  <c r="L12" i="7"/>
  <c r="L24" i="8" s="1"/>
  <c r="L25" i="8" s="1"/>
  <c r="L21" i="9" s="1"/>
  <c r="L23" i="9" s="1"/>
  <c r="L26" i="8"/>
  <c r="N5" i="6"/>
  <c r="M18" i="6"/>
  <c r="D30" i="10" s="1"/>
  <c r="D29" i="14" s="1"/>
  <c r="M17" i="6"/>
  <c r="N10" i="6" l="1"/>
  <c r="N8" i="6"/>
  <c r="D29" i="10"/>
  <c r="D28" i="14" s="1"/>
  <c r="D36" i="10"/>
  <c r="M10" i="7"/>
  <c r="N16" i="6" l="1"/>
  <c r="N21" i="8"/>
  <c r="N6" i="7"/>
  <c r="N8" i="7" s="1"/>
  <c r="N15" i="6"/>
  <c r="D31" i="10" s="1"/>
  <c r="D30" i="14" s="1"/>
  <c r="M11" i="7"/>
  <c r="M12" i="7" s="1"/>
  <c r="M24" i="8" s="1"/>
  <c r="M25" i="8" s="1"/>
  <c r="N23" i="8"/>
  <c r="N12" i="6"/>
  <c r="D10" i="13"/>
  <c r="E10" i="13" s="1"/>
  <c r="N9" i="6"/>
  <c r="M21" i="9" l="1"/>
  <c r="M23" i="9" s="1"/>
  <c r="M26" i="8"/>
  <c r="N18" i="6"/>
  <c r="D9" i="13"/>
  <c r="E9" i="13" s="1"/>
  <c r="N17" i="6"/>
  <c r="N10" i="7"/>
  <c r="D28" i="10"/>
  <c r="D27" i="14" s="1"/>
  <c r="D14" i="13"/>
  <c r="E14" i="13" s="1"/>
  <c r="N11" i="7" l="1"/>
  <c r="N12" i="7" s="1"/>
  <c r="N24" i="8" s="1"/>
  <c r="D21" i="13" l="1"/>
  <c r="E21" i="13" s="1"/>
  <c r="N25" i="8"/>
  <c r="N21" i="9" l="1"/>
  <c r="N23" i="9" s="1"/>
  <c r="D25" i="9" s="1"/>
  <c r="D16" i="10"/>
  <c r="D17" i="10" s="1"/>
  <c r="D6" i="10"/>
  <c r="D12" i="13"/>
  <c r="E12" i="13" s="1"/>
  <c r="N26" i="8"/>
  <c r="D19" i="10" s="1"/>
  <c r="D22" i="14" s="1"/>
  <c r="D21" i="14" l="1"/>
  <c r="D19" i="13"/>
  <c r="E19" i="13" s="1"/>
  <c r="D6" i="12"/>
  <c r="D10" i="10"/>
  <c r="D16" i="13"/>
  <c r="E16" i="13" s="1"/>
  <c r="D35" i="14" s="1"/>
  <c r="D16" i="14"/>
  <c r="D20" i="14"/>
  <c r="D12" i="10"/>
  <c r="D36" i="14" l="1"/>
  <c r="D41" i="14" s="1"/>
  <c r="D37" i="14"/>
</calcChain>
</file>

<file path=xl/sharedStrings.xml><?xml version="1.0" encoding="utf-8"?>
<sst xmlns="http://schemas.openxmlformats.org/spreadsheetml/2006/main" count="478" uniqueCount="400">
  <si>
    <t>BIN AMER HOLDING — INVESTMENT UNDERWRITING MODEL v4</t>
  </si>
  <si>
    <t>Document</t>
  </si>
  <si>
    <t>Institutional-grade real estate / income-asset underwriting model</t>
  </si>
  <si>
    <t>Prepared for</t>
  </si>
  <si>
    <t>Investment Committee / Bank / JV Partner Review</t>
  </si>
  <si>
    <t>Currency</t>
  </si>
  <si>
    <t>SAR (Saudi Riyal) unless stated</t>
  </si>
  <si>
    <t>Periodicity</t>
  </si>
  <si>
    <t>Annual, Y0 (closing) + Y1–Y10 (operating)</t>
  </si>
  <si>
    <t>Version</t>
  </si>
  <si>
    <t>v4.0 — Institutional Rebuild</t>
  </si>
  <si>
    <t>COLOR-CODING CONVENTIONS</t>
  </si>
  <si>
    <t>BLUE</t>
  </si>
  <si>
    <t>Hardcoded user input</t>
  </si>
  <si>
    <t>BLACK</t>
  </si>
  <si>
    <t>Formula / calculation</t>
  </si>
  <si>
    <t>GREEN</t>
  </si>
  <si>
    <t>Cross-sheet link</t>
  </si>
  <si>
    <t>YELLOW fill</t>
  </si>
  <si>
    <t>Key assumption requiring management sign-off</t>
  </si>
  <si>
    <t>Warning / negative result / audit error</t>
  </si>
  <si>
    <t>SHEET MAP</t>
  </si>
  <si>
    <t>Assumptions</t>
  </si>
  <si>
    <t>Single source of truth for all hardcoded inputs</t>
  </si>
  <si>
    <t>Timeline</t>
  </si>
  <si>
    <t>Period flags, calendar years, operating-year switches</t>
  </si>
  <si>
    <t>Revenue</t>
  </si>
  <si>
    <t>Gross revenue, vacancy, EGI build-up</t>
  </si>
  <si>
    <t>OpEx_CapEx</t>
  </si>
  <si>
    <t>Operating expense build, maintenance + refurbishment CapEx</t>
  </si>
  <si>
    <t>Debt</t>
  </si>
  <si>
    <t>Amortization OR bullet schedule, ICR, DSCR per year</t>
  </si>
  <si>
    <t>Tax</t>
  </si>
  <si>
    <t>Zakat, corporate tax, withholding, disposal tax</t>
  </si>
  <si>
    <t>Cash_Flow</t>
  </si>
  <si>
    <t>Layered: NOI → EBITDA → EBT → Project FCF → Equity FCF</t>
  </si>
  <si>
    <t>DCF</t>
  </si>
  <si>
    <t>Unlevered DCF using exit-cap terminal value (no double-count)</t>
  </si>
  <si>
    <t>Returns</t>
  </si>
  <si>
    <t>IRR, NPV, MOIC, DSCR, LTV, debt yield, payback, CoC</t>
  </si>
  <si>
    <t>Scenarios</t>
  </si>
  <si>
    <t>Base / Downside / Severe / Upside cases</t>
  </si>
  <si>
    <t>Sensitivity</t>
  </si>
  <si>
    <t>Two-variable sensitivities on key drivers</t>
  </si>
  <si>
    <t>Audit</t>
  </si>
  <si>
    <t>Integrity, sign convention, balance, reconciliation checks</t>
  </si>
  <si>
    <t>Dashboard</t>
  </si>
  <si>
    <t>IC-ready executive summary</t>
  </si>
  <si>
    <t>KEY MODEL CHANGES vs v3 (read before use)</t>
  </si>
  <si>
    <t>1.</t>
  </si>
  <si>
    <t>Removed Gordon-Growth terminal value — was double-counted with Exit Cap Value.</t>
  </si>
  <si>
    <t>2.</t>
  </si>
  <si>
    <t>Exit Value now uses FORWARD NOI net of disposal costs (broker + legal).</t>
  </si>
  <si>
    <t>3.</t>
  </si>
  <si>
    <t>True NOI line now excludes fund/admin/custodian fees (moved below to corporate).</t>
  </si>
  <si>
    <t>4.</t>
  </si>
  <si>
    <t>Full annual debt schedule with amortization OR bullet toggle; DSCR computed per year.</t>
  </si>
  <si>
    <t>5.</t>
  </si>
  <si>
    <t>Zakat, corporate tax, and withholding tax now flow through cash flow and IRR.</t>
  </si>
  <si>
    <t>6.</t>
  </si>
  <si>
    <t>Maintenance CapEx and periodic refurbishment CapEx modelled separately.</t>
  </si>
  <si>
    <t>7.</t>
  </si>
  <si>
    <t>Y0/Y1 timing corrected: Y0 = closing year (outflow), Y1 = first operating year.</t>
  </si>
  <si>
    <t>8.</t>
  </si>
  <si>
    <t>Project IRR/NPV use Project FCF; Equity IRR/NPV use Equity FCF after debt + tax.</t>
  </si>
  <si>
    <t>9.</t>
  </si>
  <si>
    <t>Audit sheet flags any structural error with OK / ERROR status.</t>
  </si>
  <si>
    <t>10.</t>
  </si>
  <si>
    <t>Sensitivity tables for cap rate, vacancy, revenue growth, interest rate, OpEx.</t>
  </si>
  <si>
    <t>ASSUMPTIONS — Single Source of Truth</t>
  </si>
  <si>
    <t>Blue = input. Yellow fill = high-impact assumption. All cells outside the input column should be empty or formula-driven.</t>
  </si>
  <si>
    <t>1. PROJECT TIMELINE</t>
  </si>
  <si>
    <t>Investment closing year (Y0)</t>
  </si>
  <si>
    <t>year</t>
  </si>
  <si>
    <t>Capital deployed at start of this year</t>
  </si>
  <si>
    <t>Holding period (operating years)</t>
  </si>
  <si>
    <t>yrs</t>
  </si>
  <si>
    <t>Y1..Y_hold years of operation</t>
  </si>
  <si>
    <t>Exit calendar year</t>
  </si>
  <si>
    <t>Calculated</t>
  </si>
  <si>
    <t>2. PROJECT COST &amp; ACQUISITION</t>
  </si>
  <si>
    <t>Asset purchase price</t>
  </si>
  <si>
    <t>SAR</t>
  </si>
  <si>
    <t>Pre-fee asset price</t>
  </si>
  <si>
    <t>RETT (Real Estate Transaction Tax)</t>
  </si>
  <si>
    <t>%</t>
  </si>
  <si>
    <t>Saudi RETT — confirm current rate</t>
  </si>
  <si>
    <t>Acquisition broker / agency</t>
  </si>
  <si>
    <t>% of purchase price</t>
  </si>
  <si>
    <t>Acquisition / DD / legal fee</t>
  </si>
  <si>
    <t>Advisory + legal</t>
  </si>
  <si>
    <t>Sum of acquisition costs (%)</t>
  </si>
  <si>
    <t>Total project cost (incl. fees)</t>
  </si>
  <si>
    <t>3. REVENUE</t>
  </si>
  <si>
    <t>Year 1 gross revenue (stabilised)</t>
  </si>
  <si>
    <t>First full operating year revenue</t>
  </si>
  <si>
    <t>Revenue growth rate (annualised)</t>
  </si>
  <si>
    <t>Effective annual growth</t>
  </si>
  <si>
    <t>Escalation frequency</t>
  </si>
  <si>
    <t>1 = annual; 2 = biennial; etc.</t>
  </si>
  <si>
    <t>Vacancy / collection loss</t>
  </si>
  <si>
    <t>% of gross revenue lost; v3 used 0% — institutional minimum 3-5%</t>
  </si>
  <si>
    <t>4. OPERATING EXPENSES (asset level)</t>
  </si>
  <si>
    <t>OpEx (% of EGI)</t>
  </si>
  <si>
    <t>True asset operating costs — maintenance, utilities, insurance, sec.</t>
  </si>
  <si>
    <t>Property / municipal tax</t>
  </si>
  <si>
    <t>% of EGI — adjust to local regime</t>
  </si>
  <si>
    <t>OpEx inflation</t>
  </si>
  <si>
    <t>Annual cost inflation</t>
  </si>
  <si>
    <t>5. CORPORATE / FUND COSTS (below NOI)</t>
  </si>
  <si>
    <t>Asset management fee (% NAV)</t>
  </si>
  <si>
    <t>0 if self-managed; NAV-based</t>
  </si>
  <si>
    <t>Custodian fee (% NAV)</t>
  </si>
  <si>
    <t>Third-party custody</t>
  </si>
  <si>
    <t>Fund admin fee (% NAV)</t>
  </si>
  <si>
    <t>Accounting/admin</t>
  </si>
  <si>
    <t>Other fixed annual expenses</t>
  </si>
  <si>
    <t>Audit, legal, board</t>
  </si>
  <si>
    <t>6. CAPITAL EXPENDITURE</t>
  </si>
  <si>
    <t>Maintenance CapEx (% of EGI)</t>
  </si>
  <si>
    <t>Institutional norm 1-2% for stabilized assets — v3 used 0%</t>
  </si>
  <si>
    <t>Major refurbishment amount</t>
  </si>
  <si>
    <t>Cyclical major refurb (one-off)</t>
  </si>
  <si>
    <t>Refurbishment year (Yn)</t>
  </si>
  <si>
    <t>Yn</t>
  </si>
  <si>
    <t>Year of major refurb</t>
  </si>
  <si>
    <t>7. FINANCING / DEBT</t>
  </si>
  <si>
    <t>Debt ratio (% of total cost)</t>
  </si>
  <si>
    <t>Set 0% for all-equity</t>
  </si>
  <si>
    <t>Cost of debt (annual)</t>
  </si>
  <si>
    <t>All-in rate</t>
  </si>
  <si>
    <t>Debt arrangement fee (one-off)</t>
  </si>
  <si>
    <t>% of debt; paid Y0</t>
  </si>
  <si>
    <t>Amortization (1=AMORT, 0=BULLET)</t>
  </si>
  <si>
    <t>flag</t>
  </si>
  <si>
    <t>1 = amortizing over tenor; 0 = bullet at exit</t>
  </si>
  <si>
    <t>Debt tenor (years)</t>
  </si>
  <si>
    <t>Amortization tenor</t>
  </si>
  <si>
    <t>Grace period (years, interest-only)</t>
  </si>
  <si>
    <t>Interest-only years</t>
  </si>
  <si>
    <t>Debt amount</t>
  </si>
  <si>
    <t>Equity required</t>
  </si>
  <si>
    <t>8. EXIT / DISPOSAL</t>
  </si>
  <si>
    <t>Exit cap rate</t>
  </si>
  <si>
    <t>Higher = lower exit price</t>
  </si>
  <si>
    <t>Exit broker commission</t>
  </si>
  <si>
    <t>% of sale price</t>
  </si>
  <si>
    <t>Exit legal / advisory</t>
  </si>
  <si>
    <t>Other disposal costs</t>
  </si>
  <si>
    <t>9. TAX (Saudi regime)</t>
  </si>
  <si>
    <t>Zakat (% on equity-base)</t>
  </si>
  <si>
    <t>2.5% on adjusted zakat base — confirm structure</t>
  </si>
  <si>
    <t>Corporate tax (foreign-owned share)</t>
  </si>
  <si>
    <t>20% for non-Saudi shareholders; set 0 if 100% Saudi-owned</t>
  </si>
  <si>
    <t>Withholding tax on distributions</t>
  </si>
  <si>
    <t>5% WHT on dividends to non-residents (treaty may reduce)</t>
  </si>
  <si>
    <t>Tax on capital gain at exit</t>
  </si>
  <si>
    <t>KSA: 0% for resident corporates; 20% for non-resident WHT may apply</t>
  </si>
  <si>
    <t>10. DISCOUNT RATE / WACC</t>
  </si>
  <si>
    <t>Risk-free rate (KSA 10Y sovereign)</t>
  </si>
  <si>
    <t>Sovereign benchmark</t>
  </si>
  <si>
    <t>Market risk premium</t>
  </si>
  <si>
    <t>4-7% range typical</t>
  </si>
  <si>
    <t>Beta (levered)</t>
  </si>
  <si>
    <t>x</t>
  </si>
  <si>
    <t>1 = market</t>
  </si>
  <si>
    <t>Cost of equity (Ke)</t>
  </si>
  <si>
    <t>CAPM</t>
  </si>
  <si>
    <t>After-tax cost of debt</t>
  </si>
  <si>
    <t>Kd*(1-t)</t>
  </si>
  <si>
    <t>WACC</t>
  </si>
  <si>
    <t>11. RISK / HURDLES</t>
  </si>
  <si>
    <t>Hurdle rate (min IRR)</t>
  </si>
  <si>
    <t>Equity IRR floor — v3 used 8% which equals WACC (too low)</t>
  </si>
  <si>
    <t>MOIC target</t>
  </si>
  <si>
    <t>Equity multiple floor for 10-yr hold</t>
  </si>
  <si>
    <t>Minimum DSCR (per year)</t>
  </si>
  <si>
    <t>Bank covenant</t>
  </si>
  <si>
    <t>Maximum LTV</t>
  </si>
  <si>
    <t>Bank LTV ceiling</t>
  </si>
  <si>
    <t>Minimum debt yield (NOI/Debt)</t>
  </si>
  <si>
    <t>Bank debt yield floor</t>
  </si>
  <si>
    <t>TIMELINE &amp; PERIOD FLAGS</t>
  </si>
  <si>
    <t>Period</t>
  </si>
  <si>
    <t>Year</t>
  </si>
  <si>
    <t>Operating year flag</t>
  </si>
  <si>
    <t>Exit year flag</t>
  </si>
  <si>
    <t>Escalation step flag (0/1)</t>
  </si>
  <si>
    <t>Cumulative escalation factor</t>
  </si>
  <si>
    <t>OpEx inflation factor</t>
  </si>
  <si>
    <t>REVENUE BUILD</t>
  </si>
  <si>
    <t>Gross potential revenue</t>
  </si>
  <si>
    <t xml:space="preserve">  Vacancy / collection loss</t>
  </si>
  <si>
    <t>EFFECTIVE GROSS INCOME (EGI)</t>
  </si>
  <si>
    <t xml:space="preserve">  YoY EGI growth</t>
  </si>
  <si>
    <t>OPERATING EXPENSES &amp; CAPITAL EXPENDITURE</t>
  </si>
  <si>
    <t>ASSET-LEVEL OPERATING EXPENSES</t>
  </si>
  <si>
    <t xml:space="preserve">  Operating expenses (OpEx)</t>
  </si>
  <si>
    <t xml:space="preserve">  Property / municipal tax</t>
  </si>
  <si>
    <t>TOTAL ASSET OPERATING EXPENSES</t>
  </si>
  <si>
    <t>NET OPERATING INCOME (NOI)</t>
  </si>
  <si>
    <t xml:space="preserve">  NOI margin</t>
  </si>
  <si>
    <t>CORPORATE / FUND-LEVEL COSTS (below NOI)</t>
  </si>
  <si>
    <t xml:space="preserve">  Management fee (% NAV proxy: total cost)</t>
  </si>
  <si>
    <t xml:space="preserve">  Custodian fee</t>
  </si>
  <si>
    <t xml:space="preserve">  Fund admin fee</t>
  </si>
  <si>
    <t xml:space="preserve">  Other fixed annual expenses</t>
  </si>
  <si>
    <t>TOTAL CORPORATE COSTS</t>
  </si>
  <si>
    <t>EBITDA (NOI − Corporate costs)</t>
  </si>
  <si>
    <t>CAPITAL EXPENDITURE</t>
  </si>
  <si>
    <t xml:space="preserve">  Maintenance CapEx (% EGI)</t>
  </si>
  <si>
    <t xml:space="preserve">  Major refurbishment</t>
  </si>
  <si>
    <t>TOTAL CAPEX</t>
  </si>
  <si>
    <t>DEBT SCHEDULE</t>
  </si>
  <si>
    <t>Opening balance</t>
  </si>
  <si>
    <t xml:space="preserve">  Drawdown</t>
  </si>
  <si>
    <t xml:space="preserve">  Scheduled principal repayment</t>
  </si>
  <si>
    <t xml:space="preserve">  Bullet repayment at exit</t>
  </si>
  <si>
    <t>CLOSING BALANCE</t>
  </si>
  <si>
    <t xml:space="preserve">  Interest expense</t>
  </si>
  <si>
    <t xml:space="preserve">  Arrangement fee (one-off)</t>
  </si>
  <si>
    <t>TOTAL DEBT SERVICE (interest + principal)</t>
  </si>
  <si>
    <t>COVERAGE RATIOS (per year)</t>
  </si>
  <si>
    <t>Interest Coverage (NOI / |Interest|)</t>
  </si>
  <si>
    <t>DSCR (NOI / (|Interest|+|Principal|+|Bullet|))</t>
  </si>
  <si>
    <t>LTV (Debt / Asset Value at acquisition)</t>
  </si>
  <si>
    <t>Debt yield (NOI / Debt outstanding)</t>
  </si>
  <si>
    <t>TAX SCHEDULE</t>
  </si>
  <si>
    <t>EBITDA (from OpEx_CapEx)</t>
  </si>
  <si>
    <t>Less: Interest expense</t>
  </si>
  <si>
    <t>Less: Depreciation proxy (CapEx)</t>
  </si>
  <si>
    <t>Earnings before tax (EBT)</t>
  </si>
  <si>
    <t xml:space="preserve">  Zakat (on equity-base proxy: total cost × equity %)</t>
  </si>
  <si>
    <t xml:space="preserve">  Corporate tax (on positive EBT)</t>
  </si>
  <si>
    <t xml:space="preserve">  Withholding tax on equity distributions</t>
  </si>
  <si>
    <t>TOTAL TAX (negative = cash out)</t>
  </si>
  <si>
    <t>Disposal tax (one-off at exit)</t>
  </si>
  <si>
    <t>CASH FLOW STATEMENT (Project &amp; Equity)</t>
  </si>
  <si>
    <t>UNLEVERED (PROJECT) CASH FLOW</t>
  </si>
  <si>
    <t>Revenue (EGI)</t>
  </si>
  <si>
    <t>Operating expenses</t>
  </si>
  <si>
    <t>NOI</t>
  </si>
  <si>
    <t>Corporate costs</t>
  </si>
  <si>
    <t>EBITDA</t>
  </si>
  <si>
    <t>CapEx (maintenance + refurb)</t>
  </si>
  <si>
    <t>Acquisition outflow (Y0)</t>
  </si>
  <si>
    <t>Exit value net of disposal costs (Y_exit)</t>
  </si>
  <si>
    <t>Disposal tax (Y_exit)</t>
  </si>
  <si>
    <t>PROJECT FREE CASH FLOW (unlevered)</t>
  </si>
  <si>
    <t>EQUITY (LEVERED) CASH FLOW</t>
  </si>
  <si>
    <t>Project FCF</t>
  </si>
  <si>
    <t>Debt drawdown</t>
  </si>
  <si>
    <t>Arrangement fee</t>
  </si>
  <si>
    <t>Interest expense</t>
  </si>
  <si>
    <t>Scheduled principal</t>
  </si>
  <si>
    <t>Bullet repayment at exit</t>
  </si>
  <si>
    <t>Income taxes (zakat + corp + WHT)</t>
  </si>
  <si>
    <t>EQUITY FREE CASH FLOW</t>
  </si>
  <si>
    <t xml:space="preserve">  Cumulative equity FCF</t>
  </si>
  <si>
    <t>DCF VALUATION (Unlevered) — Exit-Cap method, no double-count</t>
  </si>
  <si>
    <t>EXIT VALUE BUILD (forward NOI method)</t>
  </si>
  <si>
    <t>Forward NOI (Y+1 of exit year)</t>
  </si>
  <si>
    <t>Disposal costs % (broker + legal + other)</t>
  </si>
  <si>
    <t>GROSS EXIT VALUE = Forward NOI / Exit Cap</t>
  </si>
  <si>
    <t>NET EXIT VALUE (gross − disposal costs)</t>
  </si>
  <si>
    <t>UNLEVERED DCF — PROJECT LEVEL</t>
  </si>
  <si>
    <t>Project FCF (unlevered)</t>
  </si>
  <si>
    <t>Discount factor @ WACC</t>
  </si>
  <si>
    <t>PV of FCF</t>
  </si>
  <si>
    <t>NPV (Project) = Σ PV(Project FCF)</t>
  </si>
  <si>
    <t>Enterprise Value (EV) = NPV + Initial Outflow Reversed</t>
  </si>
  <si>
    <t>Note: EV here = sum of PV future cash flows excluding acquisition.</t>
  </si>
  <si>
    <t>LEVERED DCF — EQUITY LEVEL</t>
  </si>
  <si>
    <t>Equity FCF (levered)</t>
  </si>
  <si>
    <t>Discount factor @ Cost of Equity</t>
  </si>
  <si>
    <t>PV of Equity FCF</t>
  </si>
  <si>
    <t>NPV (Equity) = Σ PV(Equity FCF)</t>
  </si>
  <si>
    <t>RETURN METRICS</t>
  </si>
  <si>
    <t>PROFITABILITY</t>
  </si>
  <si>
    <t>Project IRR (unlevered)</t>
  </si>
  <si>
    <t>Equity IRR (levered, post-tax)</t>
  </si>
  <si>
    <t>WACC (hurdle for project)</t>
  </si>
  <si>
    <t>Hurdle rate (equity)</t>
  </si>
  <si>
    <t>Project IRR vs WACC (gap)</t>
  </si>
  <si>
    <t>Equity IRR vs Hurdle (gap)</t>
  </si>
  <si>
    <t>NPV @ WACC (Project)</t>
  </si>
  <si>
    <t>NPV @ Ke (Equity)</t>
  </si>
  <si>
    <t>EQUITY MULTIPLES &amp; PAYBACK</t>
  </si>
  <si>
    <t>Initial equity invested (Y0 only)</t>
  </si>
  <si>
    <t>Sum of all positive equity distributions</t>
  </si>
  <si>
    <t>MOIC on initial equity (distributions/initial)</t>
  </si>
  <si>
    <t>Payback period (years until cumul. equity FCF ≥ 0)</t>
  </si>
  <si>
    <t>CURRENT-YEAR METRICS (Year 1)</t>
  </si>
  <si>
    <t>Cash-on-Cash (Y1 equity FCF ex arrangement fee / equity)</t>
  </si>
  <si>
    <t>Yield on cost (Y1 NOI / Total Cost)</t>
  </si>
  <si>
    <t>Entry cap rate implied (Y1 NOI / Purchase price)</t>
  </si>
  <si>
    <t>CREDIT METRICS</t>
  </si>
  <si>
    <t>Initial LTV (Debt / Total cost)</t>
  </si>
  <si>
    <t>Min DSCR over life</t>
  </si>
  <si>
    <t>Avg DSCR</t>
  </si>
  <si>
    <t>Avg debt yield (NOI / Debt outstanding)</t>
  </si>
  <si>
    <t>Min Interest Coverage</t>
  </si>
  <si>
    <t>BREAK-EVEN ANALYSIS</t>
  </si>
  <si>
    <t>Break-even vacancy (NOI covers debt service)</t>
  </si>
  <si>
    <t>NOI cushion vs debt service (Y1)</t>
  </si>
  <si>
    <t>Min DSCR excl. bullet year (Y1–Y9)</t>
  </si>
  <si>
    <t>SCENARIO ANALYSIS — Base / Downside / Severe / Upside</t>
  </si>
  <si>
    <t>Scenarios shock key drivers vs base. Compare equity IRR, NPV, DSCR, MOIC.</t>
  </si>
  <si>
    <t>Driver</t>
  </si>
  <si>
    <t>Base</t>
  </si>
  <si>
    <t>Downside</t>
  </si>
  <si>
    <t>Severe</t>
  </si>
  <si>
    <t>Upside</t>
  </si>
  <si>
    <t>Revenue growth (Δ pp)</t>
  </si>
  <si>
    <t>Y1 vacancy (Δ pp)</t>
  </si>
  <si>
    <t>OpEx (Δ % multiplier)</t>
  </si>
  <si>
    <t>Exit cap rate (Δ bps)</t>
  </si>
  <si>
    <t>Cost of debt (Δ bps)</t>
  </si>
  <si>
    <t>SCENARIO IMPACT (estimated, using single-factor shocks via Sensitivity sheet)</t>
  </si>
  <si>
    <t>See Sensitivity sheet for two-way matrices on each driver.</t>
  </si>
  <si>
    <t>For full multi-factor scenarios, copy the workbook, change the BLUE inputs on Assumptions, and re-read Returns.</t>
  </si>
  <si>
    <t>Scenario operating instructions:</t>
  </si>
  <si>
    <t>1. To run a scenario, change ONLY the blue cells on the Assumptions sheet.</t>
  </si>
  <si>
    <t>2. The whole model re-flows. Read updated metrics on Returns and Dashboard.</t>
  </si>
  <si>
    <t>3. To compare side-by-side, save the workbook under each scenario name (e.g. v4_Base.xlsx).</t>
  </si>
  <si>
    <t>4. For automated multi-scenario tables, see the Sensitivity sheet which uses one-way shocks.</t>
  </si>
  <si>
    <t>SENSITIVITY ANALYSIS</t>
  </si>
  <si>
    <t>Excel two-variable data tables are not auto-generated by Python. To populate, use Data &gt; What-If &gt; Data Table on the matrices below.</t>
  </si>
  <si>
    <t>EXIT CAP RATE SENSITIVITY (Equity IRR)</t>
  </si>
  <si>
    <t>Equity IRR (base case)</t>
  </si>
  <si>
    <t>Exit cap rate Δ:</t>
  </si>
  <si>
    <t>Resulting exit cap</t>
  </si>
  <si>
    <t>Gross exit value (SAR)</t>
  </si>
  <si>
    <t>Net exit value (after disposal costs)</t>
  </si>
  <si>
    <t>Δ equity proceeds at exit</t>
  </si>
  <si>
    <t>VACANCY SENSITIVITY (Y1 NOI)</t>
  </si>
  <si>
    <t>Vacancy rate</t>
  </si>
  <si>
    <t>Y1 EGI</t>
  </si>
  <si>
    <t>Y1 NOI (approx)</t>
  </si>
  <si>
    <t>Y1 DSCR (approx)</t>
  </si>
  <si>
    <t>COST OF DEBT SENSITIVITY (Y1 DSCR)</t>
  </si>
  <si>
    <t>Cost of debt</t>
  </si>
  <si>
    <t>Y1 interest (approx)</t>
  </si>
  <si>
    <t>Y1 DSCR (approx, interest-only proxy)</t>
  </si>
  <si>
    <t>MODEL INTEGRITY CHECKS</t>
  </si>
  <si>
    <t>All checks must return OK before model is used for IC/financing.</t>
  </si>
  <si>
    <t>Check</t>
  </si>
  <si>
    <t>Expected</t>
  </si>
  <si>
    <t>Actual</t>
  </si>
  <si>
    <t>Status</t>
  </si>
  <si>
    <t>Debt + Equity = Total cost</t>
  </si>
  <si>
    <t>Y0 acquisition outflow = Total cost (negative)</t>
  </si>
  <si>
    <t>Y0 debt drawdown = Debt amount</t>
  </si>
  <si>
    <t>Debt closing balance at exit = 0</t>
  </si>
  <si>
    <t>Sum of principal+bullet across life = Debt amount</t>
  </si>
  <si>
    <t>Project FCF positive in Y_exit (driven by exit value)</t>
  </si>
  <si>
    <t>Positive</t>
  </si>
  <si>
    <t>Equity outflow only in Y0</t>
  </si>
  <si>
    <t>Only Y0 negative</t>
  </si>
  <si>
    <t>WACC &gt; Cost of debt after-tax</t>
  </si>
  <si>
    <t>WACC &gt; Kd</t>
  </si>
  <si>
    <t>Min DSCR ≥ Min DSCR threshold</t>
  </si>
  <si>
    <t>Initial LTV ≤ Max LTV</t>
  </si>
  <si>
    <t>Equity IRR ≥ Hurdle</t>
  </si>
  <si>
    <t>Project IRR ≥ WACC</t>
  </si>
  <si>
    <t>NPV (Project) ≥ 0</t>
  </si>
  <si>
    <t>≥ 0</t>
  </si>
  <si>
    <t>MOIC ≥ MOIC target</t>
  </si>
  <si>
    <t>Exit value computed only at exit year</t>
  </si>
  <si>
    <t>1 non-zero cell</t>
  </si>
  <si>
    <t>Tax line is non-positive (cash outflow)</t>
  </si>
  <si>
    <t>≤ 0 every year</t>
  </si>
  <si>
    <t>EXECUTIVE DASHBOARD — Bin Amer Holding Investment Committee</t>
  </si>
  <si>
    <t>Closing year (Y0)</t>
  </si>
  <si>
    <t>Exit year (Y_exit)</t>
  </si>
  <si>
    <t>Holding period</t>
  </si>
  <si>
    <t>Total project cost</t>
  </si>
  <si>
    <t>Debt required</t>
  </si>
  <si>
    <t>Initial LTV</t>
  </si>
  <si>
    <t>Hurdle rate</t>
  </si>
  <si>
    <t>MOIC</t>
  </si>
  <si>
    <t>Payback period</t>
  </si>
  <si>
    <t>Cash-on-Cash (Y1)</t>
  </si>
  <si>
    <t>Yield on cost (Y1)</t>
  </si>
  <si>
    <t>Avg Debt Yield</t>
  </si>
  <si>
    <t>Min DSCR threshold</t>
  </si>
  <si>
    <t>Initial LTV vs Max LTV</t>
  </si>
  <si>
    <t>AUDIT STATUS</t>
  </si>
  <si>
    <t>Number of audit checks passed</t>
  </si>
  <si>
    <t>Number of audit checks failed</t>
  </si>
  <si>
    <t>Checks requiring review</t>
  </si>
  <si>
    <t>INVESTMENT COMMITTEE RECOMMENDATION</t>
  </si>
  <si>
    <t>Decision logic: Equity IRR ≥ Hurdle, NPV(Project) &gt; 0, Min DSCR ≥ threshold, LTV ≤ Max, Audit clean</t>
  </si>
  <si>
    <t>RECOMMENDATION</t>
  </si>
  <si>
    <t>KEY DEAL DRIVERS (interpret with caution)</t>
  </si>
  <si>
    <t>•  Outcome is most sensitive to: exit cap rate, Y1 vacancy, OpEx, cost of debt.</t>
  </si>
  <si>
    <t>•  DSCR collapses at exit year if bullet repayment + interest exceed NOI — check Debt!N16.</t>
  </si>
  <si>
    <t>•  Zakat &amp; withholding tax reduce equity IRR by ~30–80 bps depending on structure.</t>
  </si>
  <si>
    <t>•  Forward NOI used in exit value reflects 1-period escalation — verify with broker comps.</t>
  </si>
  <si>
    <t>•  All shareholding, governance, and tax-residency assumptions require Big-4 / counsel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</si>
</sst>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%;\(0.0%\);\-"/>
    <numFmt numFmtId="166" formatCode="0.00\x"/>
    <numFmt numFmtId="167" formatCode="0.0000"/>
    <numFmt numFmtId="168" formatCode="0.00%;\(0.00%\);\-"/>
    <numFmt numFmtId="169" formatCode="\+0.00%;\-0.00%;0.0%"/>
    <numFmt numFmtId="170" formatCode="0&quot; yrs&quot;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FF"/>
      <name val="Arial"/>
      <charset val="1"/>
    </font>
    <font>
      <sz val="10"/>
      <color rgb="FF006100"/>
      <name val="Arial"/>
      <charset val="1"/>
    </font>
    <font>
      <b/>
      <sz val="11"/>
      <color rgb="FFFFFFFF"/>
      <name val="Arial"/>
      <charset val="1"/>
    </font>
    <font>
      <b/>
      <sz val="10"/>
      <color rgb="FFC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5597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7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4" borderId="0" xfId="0" applyFont="1" applyFill="1"/>
    <xf numFmtId="0" fontId="7" fillId="5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right" vertical="center"/>
    </xf>
    <xf numFmtId="1" fontId="5" fillId="4" borderId="0" xfId="0" applyNumberFormat="1" applyFont="1" applyFill="1" applyAlignment="1">
      <alignment horizontal="right" vertical="center"/>
    </xf>
    <xf numFmtId="1" fontId="3" fillId="6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3" fillId="6" borderId="0" xfId="0" applyNumberFormat="1" applyFont="1" applyFill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" fontId="7" fillId="5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2" fillId="7" borderId="0" xfId="0" applyFont="1" applyFill="1" applyAlignment="1">
      <alignment horizontal="left" vertical="center" indent="1"/>
    </xf>
    <xf numFmtId="164" fontId="2" fillId="7" borderId="0" xfId="0" applyNumberFormat="1" applyFont="1" applyFill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64" fontId="2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6" fontId="2" fillId="4" borderId="0" xfId="0" applyNumberFormat="1" applyFont="1" applyFill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2" fontId="0" fillId="0" borderId="0" xfId="0" applyNumberFormat="1"/>
    <xf numFmtId="0" fontId="7" fillId="5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9" fontId="5" fillId="4" borderId="0" xfId="0" applyNumberFormat="1" applyFont="1" applyFill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0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8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2E5597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2"/>
  <sheetViews>
    <sheetView showGridLines="0" tabSelected="1" topLeftCell="A20" zoomScaleNormal="100" workbookViewId="0"/>
  </sheetViews>
  <sheetFormatPr defaultColWidth="8.68359375" defaultRowHeight="14.4" x14ac:dyDescent="0.55000000000000004"/>
  <cols>
    <col min="1" max="1" width="2" customWidth="1"/>
    <col min="2" max="2" width="42" customWidth="1"/>
    <col min="3" max="3" width="52" customWidth="1"/>
    <col min="4" max="6" width="18" customWidth="1"/>
  </cols>
  <sheetData>
    <row r="2" spans="2:6" ht="27.75" customHeight="1" x14ac:dyDescent="0.55000000000000004">
      <c r="B2" s="3" t="s">
        <v>0</v>
      </c>
      <c r="C2" s="3"/>
      <c r="D2" s="3"/>
      <c r="E2" s="3"/>
      <c r="F2" s="3"/>
    </row>
    <row r="4" spans="2:6" ht="15" customHeight="1" x14ac:dyDescent="0.55000000000000004">
      <c r="B4" s="4" t="s">
        <v>1</v>
      </c>
      <c r="C4" s="5" t="s">
        <v>2</v>
      </c>
    </row>
    <row r="5" spans="2:6" ht="15" customHeight="1" x14ac:dyDescent="0.55000000000000004">
      <c r="B5" s="4" t="s">
        <v>3</v>
      </c>
      <c r="C5" s="5" t="s">
        <v>4</v>
      </c>
    </row>
    <row r="6" spans="2:6" ht="15" customHeight="1" x14ac:dyDescent="0.55000000000000004">
      <c r="B6" s="4" t="s">
        <v>5</v>
      </c>
      <c r="C6" s="5" t="s">
        <v>6</v>
      </c>
    </row>
    <row r="7" spans="2:6" ht="15" customHeight="1" x14ac:dyDescent="0.55000000000000004">
      <c r="B7" s="4" t="s">
        <v>7</v>
      </c>
      <c r="C7" s="5" t="s">
        <v>8</v>
      </c>
    </row>
    <row r="8" spans="2:6" ht="15" customHeight="1" x14ac:dyDescent="0.55000000000000004">
      <c r="B8" s="4" t="s">
        <v>9</v>
      </c>
      <c r="C8" s="5" t="s">
        <v>10</v>
      </c>
    </row>
    <row r="10" spans="2:6" ht="15" customHeight="1" x14ac:dyDescent="0.55000000000000004">
      <c r="B10" s="2" t="s">
        <v>11</v>
      </c>
      <c r="C10" s="2"/>
      <c r="D10" s="2"/>
      <c r="E10" s="2"/>
      <c r="F10" s="2"/>
    </row>
    <row r="11" spans="2:6" ht="15" customHeight="1" x14ac:dyDescent="0.55000000000000004">
      <c r="B11" s="6" t="s">
        <v>12</v>
      </c>
      <c r="C11" s="5" t="s">
        <v>13</v>
      </c>
    </row>
    <row r="12" spans="2:6" ht="15" customHeight="1" x14ac:dyDescent="0.55000000000000004">
      <c r="B12" s="5" t="s">
        <v>14</v>
      </c>
      <c r="C12" s="5" t="s">
        <v>15</v>
      </c>
    </row>
    <row r="13" spans="2:6" ht="15" customHeight="1" x14ac:dyDescent="0.55000000000000004">
      <c r="B13" s="7" t="s">
        <v>16</v>
      </c>
      <c r="C13" s="5" t="s">
        <v>17</v>
      </c>
    </row>
    <row r="14" spans="2:6" ht="15" customHeight="1" x14ac:dyDescent="0.55000000000000004">
      <c r="B14" s="5" t="s">
        <v>18</v>
      </c>
      <c r="C14" s="5" t="s">
        <v>19</v>
      </c>
    </row>
    <row r="15" spans="2:6" ht="15" customHeight="1" x14ac:dyDescent="0.55000000000000004">
      <c r="B15" s="8" t="s">
        <v>18</v>
      </c>
      <c r="C15" s="5" t="s">
        <v>20</v>
      </c>
    </row>
    <row r="17" spans="2:6" ht="15" customHeight="1" x14ac:dyDescent="0.55000000000000004">
      <c r="B17" s="2" t="s">
        <v>21</v>
      </c>
      <c r="C17" s="2"/>
      <c r="D17" s="2"/>
      <c r="E17" s="2"/>
      <c r="F17" s="2"/>
    </row>
    <row r="18" spans="2:6" ht="15" customHeight="1" x14ac:dyDescent="0.55000000000000004">
      <c r="B18" s="4" t="s">
        <v>22</v>
      </c>
      <c r="C18" s="5" t="s">
        <v>23</v>
      </c>
    </row>
    <row r="19" spans="2:6" ht="15" customHeight="1" x14ac:dyDescent="0.55000000000000004">
      <c r="B19" s="4" t="s">
        <v>24</v>
      </c>
      <c r="C19" s="5" t="s">
        <v>25</v>
      </c>
    </row>
    <row r="20" spans="2:6" ht="15" customHeight="1" x14ac:dyDescent="0.55000000000000004">
      <c r="B20" s="4" t="s">
        <v>26</v>
      </c>
      <c r="C20" s="5" t="s">
        <v>27</v>
      </c>
    </row>
    <row r="21" spans="2:6" ht="15" customHeight="1" x14ac:dyDescent="0.55000000000000004">
      <c r="B21" s="4" t="s">
        <v>28</v>
      </c>
      <c r="C21" s="5" t="s">
        <v>29</v>
      </c>
    </row>
    <row r="22" spans="2:6" ht="15" customHeight="1" x14ac:dyDescent="0.55000000000000004">
      <c r="B22" s="4" t="s">
        <v>30</v>
      </c>
      <c r="C22" s="5" t="s">
        <v>31</v>
      </c>
    </row>
    <row r="23" spans="2:6" ht="15" customHeight="1" x14ac:dyDescent="0.55000000000000004">
      <c r="B23" s="4" t="s">
        <v>32</v>
      </c>
      <c r="C23" s="5" t="s">
        <v>33</v>
      </c>
    </row>
    <row r="24" spans="2:6" ht="15" customHeight="1" x14ac:dyDescent="0.55000000000000004">
      <c r="B24" s="4" t="s">
        <v>34</v>
      </c>
      <c r="C24" s="5" t="s">
        <v>35</v>
      </c>
    </row>
    <row r="25" spans="2:6" ht="15" customHeight="1" x14ac:dyDescent="0.55000000000000004">
      <c r="B25" s="4" t="s">
        <v>36</v>
      </c>
      <c r="C25" s="5" t="s">
        <v>37</v>
      </c>
    </row>
    <row r="26" spans="2:6" ht="15" customHeight="1" x14ac:dyDescent="0.55000000000000004">
      <c r="B26" s="4" t="s">
        <v>38</v>
      </c>
      <c r="C26" s="5" t="s">
        <v>39</v>
      </c>
    </row>
    <row r="27" spans="2:6" ht="15" customHeight="1" x14ac:dyDescent="0.55000000000000004">
      <c r="B27" s="4" t="s">
        <v>40</v>
      </c>
      <c r="C27" s="5" t="s">
        <v>41</v>
      </c>
    </row>
    <row r="28" spans="2:6" ht="15" customHeight="1" x14ac:dyDescent="0.55000000000000004">
      <c r="B28" s="4" t="s">
        <v>42</v>
      </c>
      <c r="C28" s="5" t="s">
        <v>43</v>
      </c>
    </row>
    <row r="29" spans="2:6" ht="15" customHeight="1" x14ac:dyDescent="0.55000000000000004">
      <c r="B29" s="4" t="s">
        <v>44</v>
      </c>
      <c r="C29" s="5" t="s">
        <v>45</v>
      </c>
    </row>
    <row r="30" spans="2:6" ht="15" customHeight="1" x14ac:dyDescent="0.55000000000000004">
      <c r="B30" s="4" t="s">
        <v>46</v>
      </c>
      <c r="C30" s="5" t="s">
        <v>47</v>
      </c>
    </row>
    <row r="32" spans="2:6" ht="15" customHeight="1" x14ac:dyDescent="0.55000000000000004">
      <c r="B32" s="2" t="s">
        <v>48</v>
      </c>
      <c r="C32" s="2"/>
      <c r="D32" s="2"/>
      <c r="E32" s="2"/>
      <c r="F32" s="2"/>
    </row>
    <row r="33" spans="2:3" ht="15" customHeight="1" x14ac:dyDescent="0.55000000000000004">
      <c r="B33" s="4" t="s">
        <v>49</v>
      </c>
      <c r="C33" s="5" t="s">
        <v>50</v>
      </c>
    </row>
    <row r="34" spans="2:3" ht="15" customHeight="1" x14ac:dyDescent="0.55000000000000004">
      <c r="B34" s="4" t="s">
        <v>51</v>
      </c>
      <c r="C34" s="5" t="s">
        <v>52</v>
      </c>
    </row>
    <row r="35" spans="2:3" ht="15" customHeight="1" x14ac:dyDescent="0.55000000000000004">
      <c r="B35" s="4" t="s">
        <v>53</v>
      </c>
      <c r="C35" s="5" t="s">
        <v>54</v>
      </c>
    </row>
    <row r="36" spans="2:3" ht="15" customHeight="1" x14ac:dyDescent="0.55000000000000004">
      <c r="B36" s="4" t="s">
        <v>55</v>
      </c>
      <c r="C36" s="5" t="s">
        <v>56</v>
      </c>
    </row>
    <row r="37" spans="2:3" ht="15" customHeight="1" x14ac:dyDescent="0.55000000000000004">
      <c r="B37" s="4" t="s">
        <v>57</v>
      </c>
      <c r="C37" s="5" t="s">
        <v>58</v>
      </c>
    </row>
    <row r="38" spans="2:3" ht="15" customHeight="1" x14ac:dyDescent="0.55000000000000004">
      <c r="B38" s="4" t="s">
        <v>59</v>
      </c>
      <c r="C38" s="5" t="s">
        <v>60</v>
      </c>
    </row>
    <row r="39" spans="2:3" ht="15" customHeight="1" x14ac:dyDescent="0.55000000000000004">
      <c r="B39" s="4" t="s">
        <v>61</v>
      </c>
      <c r="C39" s="5" t="s">
        <v>62</v>
      </c>
    </row>
    <row r="40" spans="2:3" ht="15" customHeight="1" x14ac:dyDescent="0.55000000000000004">
      <c r="B40" s="4" t="s">
        <v>63</v>
      </c>
      <c r="C40" s="5" t="s">
        <v>64</v>
      </c>
    </row>
    <row r="41" spans="2:3" ht="15" customHeight="1" x14ac:dyDescent="0.55000000000000004">
      <c r="B41" s="4" t="s">
        <v>65</v>
      </c>
      <c r="C41" s="5" t="s">
        <v>66</v>
      </c>
    </row>
    <row r="42" spans="2:3" ht="15" customHeight="1" x14ac:dyDescent="0.55000000000000004">
      <c r="B42" s="4" t="s">
        <v>67</v>
      </c>
      <c r="C42" s="5" t="s">
        <v>68</v>
      </c>
    </row>
  </sheetData>
  <mergeCells count="4">
    <mergeCell ref="B2:F2"/>
    <mergeCell ref="B10:F10"/>
    <mergeCell ref="B17:F17"/>
    <mergeCell ref="B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5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42" customWidth="1"/>
    <col min="3" max="3" width="5" customWidth="1"/>
    <col min="4" max="4" width="18" customWidth="1"/>
    <col min="5" max="5" width="10" customWidth="1"/>
    <col min="6" max="6" width="60" customWidth="1"/>
  </cols>
  <sheetData>
    <row r="2" spans="2:6" ht="27.75" customHeight="1" x14ac:dyDescent="0.55000000000000004">
      <c r="B2" s="3" t="s">
        <v>69</v>
      </c>
      <c r="C2" s="3"/>
      <c r="D2" s="3"/>
      <c r="E2" s="3"/>
      <c r="F2" s="3"/>
    </row>
    <row r="3" spans="2:6" ht="15" customHeight="1" x14ac:dyDescent="0.55000000000000004">
      <c r="B3" s="5" t="s">
        <v>70</v>
      </c>
    </row>
    <row r="5" spans="2:6" ht="15" customHeight="1" x14ac:dyDescent="0.55000000000000004">
      <c r="B5" s="1" t="s">
        <v>71</v>
      </c>
      <c r="C5" s="1"/>
      <c r="D5" s="1"/>
      <c r="E5" s="1"/>
      <c r="F5" s="1"/>
    </row>
    <row r="6" spans="2:6" ht="15" customHeight="1" x14ac:dyDescent="0.55000000000000004">
      <c r="B6" s="10" t="s">
        <v>72</v>
      </c>
      <c r="D6" s="11">
        <v>2025</v>
      </c>
      <c r="E6" s="10" t="s">
        <v>73</v>
      </c>
      <c r="F6" s="10" t="s">
        <v>74</v>
      </c>
    </row>
    <row r="7" spans="2:6" ht="15" customHeight="1" x14ac:dyDescent="0.55000000000000004">
      <c r="B7" s="10" t="s">
        <v>75</v>
      </c>
      <c r="D7" s="12">
        <v>10</v>
      </c>
      <c r="E7" s="10" t="s">
        <v>76</v>
      </c>
      <c r="F7" s="10" t="s">
        <v>77</v>
      </c>
    </row>
    <row r="8" spans="2:6" ht="15" customHeight="1" x14ac:dyDescent="0.55000000000000004">
      <c r="B8" s="10" t="s">
        <v>78</v>
      </c>
      <c r="D8" s="13">
        <f>Assumptions!$D$6+Assumptions!$D$7</f>
        <v>2035</v>
      </c>
      <c r="E8" s="10" t="s">
        <v>73</v>
      </c>
      <c r="F8" s="10" t="s">
        <v>79</v>
      </c>
    </row>
    <row r="10" spans="2:6" ht="15" customHeight="1" x14ac:dyDescent="0.55000000000000004">
      <c r="B10" s="1" t="s">
        <v>80</v>
      </c>
      <c r="C10" s="1"/>
      <c r="D10" s="1"/>
      <c r="E10" s="1"/>
      <c r="F10" s="1"/>
    </row>
    <row r="11" spans="2:6" ht="15" customHeight="1" x14ac:dyDescent="0.55000000000000004">
      <c r="B11" s="10" t="s">
        <v>81</v>
      </c>
      <c r="D11" s="14">
        <v>200000000</v>
      </c>
      <c r="E11" s="10" t="s">
        <v>82</v>
      </c>
      <c r="F11" s="10" t="s">
        <v>83</v>
      </c>
    </row>
    <row r="12" spans="2:6" ht="15" customHeight="1" x14ac:dyDescent="0.55000000000000004">
      <c r="B12" s="10" t="s">
        <v>84</v>
      </c>
      <c r="D12" s="15">
        <v>0.05</v>
      </c>
      <c r="E12" s="10" t="s">
        <v>85</v>
      </c>
      <c r="F12" s="10" t="s">
        <v>86</v>
      </c>
    </row>
    <row r="13" spans="2:6" ht="15" customHeight="1" x14ac:dyDescent="0.55000000000000004">
      <c r="B13" s="10" t="s">
        <v>87</v>
      </c>
      <c r="D13" s="15">
        <v>2.5000000000000001E-2</v>
      </c>
      <c r="E13" s="10" t="s">
        <v>85</v>
      </c>
      <c r="F13" s="10" t="s">
        <v>88</v>
      </c>
    </row>
    <row r="14" spans="2:6" ht="15" customHeight="1" x14ac:dyDescent="0.55000000000000004">
      <c r="B14" s="10" t="s">
        <v>89</v>
      </c>
      <c r="D14" s="15">
        <v>2.5000000000000001E-3</v>
      </c>
      <c r="E14" s="10" t="s">
        <v>85</v>
      </c>
      <c r="F14" s="10" t="s">
        <v>90</v>
      </c>
    </row>
    <row r="15" spans="2:6" ht="15" customHeight="1" x14ac:dyDescent="0.55000000000000004">
      <c r="B15" s="10" t="s">
        <v>91</v>
      </c>
      <c r="D15" s="16">
        <f>Assumptions!$D$12+Assumptions!$D$13+Assumptions!$D$14</f>
        <v>7.7500000000000013E-2</v>
      </c>
      <c r="E15" s="10" t="s">
        <v>85</v>
      </c>
      <c r="F15" s="10" t="s">
        <v>79</v>
      </c>
    </row>
    <row r="16" spans="2:6" ht="15" customHeight="1" x14ac:dyDescent="0.55000000000000004">
      <c r="B16" s="10" t="s">
        <v>92</v>
      </c>
      <c r="D16" s="17">
        <f>Assumptions!$D$11*(1+Assumptions!$D$15)</f>
        <v>215500000.00000003</v>
      </c>
      <c r="E16" s="10" t="s">
        <v>82</v>
      </c>
      <c r="F16" s="10" t="s">
        <v>79</v>
      </c>
    </row>
    <row r="18" spans="2:6" ht="15" customHeight="1" x14ac:dyDescent="0.55000000000000004">
      <c r="B18" s="1" t="s">
        <v>93</v>
      </c>
      <c r="C18" s="1"/>
      <c r="D18" s="1"/>
      <c r="E18" s="1"/>
      <c r="F18" s="1"/>
    </row>
    <row r="19" spans="2:6" ht="15" customHeight="1" x14ac:dyDescent="0.55000000000000004">
      <c r="B19" s="10" t="s">
        <v>94</v>
      </c>
      <c r="D19" s="14">
        <v>15000000</v>
      </c>
      <c r="E19" s="10" t="s">
        <v>82</v>
      </c>
      <c r="F19" s="10" t="s">
        <v>95</v>
      </c>
    </row>
    <row r="20" spans="2:6" ht="15" customHeight="1" x14ac:dyDescent="0.55000000000000004">
      <c r="B20" s="10" t="s">
        <v>96</v>
      </c>
      <c r="D20" s="15">
        <v>0.03</v>
      </c>
      <c r="E20" s="10" t="s">
        <v>85</v>
      </c>
      <c r="F20" s="10" t="s">
        <v>97</v>
      </c>
    </row>
    <row r="21" spans="2:6" ht="15" customHeight="1" x14ac:dyDescent="0.55000000000000004">
      <c r="B21" s="10" t="s">
        <v>98</v>
      </c>
      <c r="D21" s="11">
        <v>2</v>
      </c>
      <c r="E21" s="10" t="s">
        <v>76</v>
      </c>
      <c r="F21" s="10" t="s">
        <v>99</v>
      </c>
    </row>
    <row r="22" spans="2:6" ht="15" customHeight="1" x14ac:dyDescent="0.55000000000000004">
      <c r="B22" s="10" t="s">
        <v>100</v>
      </c>
      <c r="D22" s="18">
        <v>0.05</v>
      </c>
      <c r="E22" s="10" t="s">
        <v>85</v>
      </c>
      <c r="F22" s="10" t="s">
        <v>101</v>
      </c>
    </row>
    <row r="24" spans="2:6" ht="15" customHeight="1" x14ac:dyDescent="0.55000000000000004">
      <c r="B24" s="1" t="s">
        <v>102</v>
      </c>
      <c r="C24" s="1"/>
      <c r="D24" s="1"/>
      <c r="E24" s="1"/>
      <c r="F24" s="1"/>
    </row>
    <row r="25" spans="2:6" ht="15" customHeight="1" x14ac:dyDescent="0.55000000000000004">
      <c r="B25" s="10" t="s">
        <v>103</v>
      </c>
      <c r="D25" s="18">
        <v>0.05</v>
      </c>
      <c r="E25" s="10" t="s">
        <v>85</v>
      </c>
      <c r="F25" s="10" t="s">
        <v>104</v>
      </c>
    </row>
    <row r="26" spans="2:6" ht="15" customHeight="1" x14ac:dyDescent="0.55000000000000004">
      <c r="B26" s="10" t="s">
        <v>105</v>
      </c>
      <c r="D26" s="15">
        <v>0</v>
      </c>
      <c r="E26" s="10" t="s">
        <v>85</v>
      </c>
      <c r="F26" s="10" t="s">
        <v>106</v>
      </c>
    </row>
    <row r="27" spans="2:6" ht="15" customHeight="1" x14ac:dyDescent="0.55000000000000004">
      <c r="B27" s="10" t="s">
        <v>107</v>
      </c>
      <c r="D27" s="15">
        <v>0.03</v>
      </c>
      <c r="E27" s="10" t="s">
        <v>85</v>
      </c>
      <c r="F27" s="10" t="s">
        <v>108</v>
      </c>
    </row>
    <row r="29" spans="2:6" ht="15" customHeight="1" x14ac:dyDescent="0.55000000000000004">
      <c r="B29" s="1" t="s">
        <v>109</v>
      </c>
      <c r="C29" s="1"/>
      <c r="D29" s="1"/>
      <c r="E29" s="1"/>
      <c r="F29" s="1"/>
    </row>
    <row r="30" spans="2:6" ht="15" customHeight="1" x14ac:dyDescent="0.55000000000000004">
      <c r="B30" s="10" t="s">
        <v>110</v>
      </c>
      <c r="D30" s="15">
        <v>3.0000000000000001E-3</v>
      </c>
      <c r="E30" s="10" t="s">
        <v>85</v>
      </c>
      <c r="F30" s="10" t="s">
        <v>111</v>
      </c>
    </row>
    <row r="31" spans="2:6" ht="15" customHeight="1" x14ac:dyDescent="0.55000000000000004">
      <c r="B31" s="10" t="s">
        <v>112</v>
      </c>
      <c r="D31" s="15">
        <v>4.0000000000000002E-4</v>
      </c>
      <c r="E31" s="10" t="s">
        <v>85</v>
      </c>
      <c r="F31" s="10" t="s">
        <v>113</v>
      </c>
    </row>
    <row r="32" spans="2:6" ht="15" customHeight="1" x14ac:dyDescent="0.55000000000000004">
      <c r="B32" s="10" t="s">
        <v>114</v>
      </c>
      <c r="D32" s="15">
        <v>5.0000000000000001E-4</v>
      </c>
      <c r="E32" s="10" t="s">
        <v>85</v>
      </c>
      <c r="F32" s="10" t="s">
        <v>115</v>
      </c>
    </row>
    <row r="33" spans="2:6" ht="15" customHeight="1" x14ac:dyDescent="0.55000000000000004">
      <c r="B33" s="10" t="s">
        <v>116</v>
      </c>
      <c r="D33" s="19">
        <v>285000</v>
      </c>
      <c r="E33" s="10" t="s">
        <v>82</v>
      </c>
      <c r="F33" s="10" t="s">
        <v>117</v>
      </c>
    </row>
    <row r="35" spans="2:6" ht="15" customHeight="1" x14ac:dyDescent="0.55000000000000004">
      <c r="B35" s="1" t="s">
        <v>118</v>
      </c>
      <c r="C35" s="1"/>
      <c r="D35" s="1"/>
      <c r="E35" s="1"/>
      <c r="F35" s="1"/>
    </row>
    <row r="36" spans="2:6" ht="15" customHeight="1" x14ac:dyDescent="0.55000000000000004">
      <c r="B36" s="10" t="s">
        <v>119</v>
      </c>
      <c r="D36" s="18">
        <v>1.4999999999999999E-2</v>
      </c>
      <c r="E36" s="10" t="s">
        <v>85</v>
      </c>
      <c r="F36" s="10" t="s">
        <v>120</v>
      </c>
    </row>
    <row r="37" spans="2:6" ht="15" customHeight="1" x14ac:dyDescent="0.55000000000000004">
      <c r="B37" s="10" t="s">
        <v>121</v>
      </c>
      <c r="D37" s="14">
        <v>3000000</v>
      </c>
      <c r="E37" s="10" t="s">
        <v>82</v>
      </c>
      <c r="F37" s="10" t="s">
        <v>122</v>
      </c>
    </row>
    <row r="38" spans="2:6" ht="15" customHeight="1" x14ac:dyDescent="0.55000000000000004">
      <c r="B38" s="10" t="s">
        <v>123</v>
      </c>
      <c r="D38" s="11">
        <v>5</v>
      </c>
      <c r="E38" s="10" t="s">
        <v>124</v>
      </c>
      <c r="F38" s="10" t="s">
        <v>125</v>
      </c>
    </row>
    <row r="40" spans="2:6" ht="15" customHeight="1" x14ac:dyDescent="0.55000000000000004">
      <c r="B40" s="1" t="s">
        <v>126</v>
      </c>
      <c r="C40" s="1"/>
      <c r="D40" s="1"/>
      <c r="E40" s="1"/>
      <c r="F40" s="1"/>
    </row>
    <row r="41" spans="2:6" ht="15" customHeight="1" x14ac:dyDescent="0.55000000000000004">
      <c r="B41" s="10" t="s">
        <v>127</v>
      </c>
      <c r="D41" s="18">
        <v>0.5</v>
      </c>
      <c r="E41" s="10" t="s">
        <v>85</v>
      </c>
      <c r="F41" s="10" t="s">
        <v>128</v>
      </c>
    </row>
    <row r="42" spans="2:6" ht="15" customHeight="1" x14ac:dyDescent="0.55000000000000004">
      <c r="B42" s="10" t="s">
        <v>129</v>
      </c>
      <c r="D42" s="15">
        <v>7.0000000000000007E-2</v>
      </c>
      <c r="E42" s="10" t="s">
        <v>85</v>
      </c>
      <c r="F42" s="10" t="s">
        <v>130</v>
      </c>
    </row>
    <row r="43" spans="2:6" ht="15" customHeight="1" x14ac:dyDescent="0.55000000000000004">
      <c r="B43" s="10" t="s">
        <v>131</v>
      </c>
      <c r="D43" s="15">
        <v>2.5000000000000001E-3</v>
      </c>
      <c r="E43" s="10" t="s">
        <v>85</v>
      </c>
      <c r="F43" s="10" t="s">
        <v>132</v>
      </c>
    </row>
    <row r="44" spans="2:6" ht="15" customHeight="1" x14ac:dyDescent="0.55000000000000004">
      <c r="B44" s="10" t="s">
        <v>133</v>
      </c>
      <c r="D44" s="12">
        <v>0</v>
      </c>
      <c r="E44" s="10" t="s">
        <v>134</v>
      </c>
      <c r="F44" s="10" t="s">
        <v>135</v>
      </c>
    </row>
    <row r="45" spans="2:6" ht="15" customHeight="1" x14ac:dyDescent="0.55000000000000004">
      <c r="B45" s="10" t="s">
        <v>136</v>
      </c>
      <c r="D45" s="11">
        <v>10</v>
      </c>
      <c r="E45" s="10" t="s">
        <v>76</v>
      </c>
      <c r="F45" s="10" t="s">
        <v>137</v>
      </c>
    </row>
    <row r="46" spans="2:6" ht="15" customHeight="1" x14ac:dyDescent="0.55000000000000004">
      <c r="B46" s="10" t="s">
        <v>138</v>
      </c>
      <c r="D46" s="11">
        <v>1</v>
      </c>
      <c r="E46" s="10" t="s">
        <v>76</v>
      </c>
      <c r="F46" s="10" t="s">
        <v>139</v>
      </c>
    </row>
    <row r="47" spans="2:6" ht="15" customHeight="1" x14ac:dyDescent="0.55000000000000004">
      <c r="B47" s="10" t="s">
        <v>140</v>
      </c>
      <c r="D47" s="17">
        <f>Assumptions!$D$16*Assumptions!$D$41</f>
        <v>107750000.00000001</v>
      </c>
      <c r="E47" s="10" t="s">
        <v>82</v>
      </c>
      <c r="F47" s="10" t="s">
        <v>79</v>
      </c>
    </row>
    <row r="48" spans="2:6" ht="15" customHeight="1" x14ac:dyDescent="0.55000000000000004">
      <c r="B48" s="10" t="s">
        <v>141</v>
      </c>
      <c r="D48" s="17">
        <f>Assumptions!$D$16*(1-Assumptions!$D$41)</f>
        <v>107750000.00000001</v>
      </c>
      <c r="E48" s="10" t="s">
        <v>82</v>
      </c>
      <c r="F48" s="10" t="s">
        <v>79</v>
      </c>
    </row>
    <row r="50" spans="2:6" ht="15" customHeight="1" x14ac:dyDescent="0.55000000000000004">
      <c r="B50" s="1" t="s">
        <v>142</v>
      </c>
      <c r="C50" s="1"/>
      <c r="D50" s="1"/>
      <c r="E50" s="1"/>
      <c r="F50" s="1"/>
    </row>
    <row r="51" spans="2:6" ht="15" customHeight="1" x14ac:dyDescent="0.55000000000000004">
      <c r="B51" s="10" t="s">
        <v>143</v>
      </c>
      <c r="D51" s="18">
        <v>7.4999999999999997E-2</v>
      </c>
      <c r="E51" s="10" t="s">
        <v>85</v>
      </c>
      <c r="F51" s="10" t="s">
        <v>144</v>
      </c>
    </row>
    <row r="52" spans="2:6" ht="15" customHeight="1" x14ac:dyDescent="0.55000000000000004">
      <c r="B52" s="10" t="s">
        <v>145</v>
      </c>
      <c r="D52" s="15">
        <v>0.02</v>
      </c>
      <c r="E52" s="10" t="s">
        <v>85</v>
      </c>
      <c r="F52" s="10" t="s">
        <v>146</v>
      </c>
    </row>
    <row r="53" spans="2:6" ht="15" customHeight="1" x14ac:dyDescent="0.55000000000000004">
      <c r="B53" s="10" t="s">
        <v>147</v>
      </c>
      <c r="D53" s="15">
        <v>5.0000000000000001E-3</v>
      </c>
      <c r="E53" s="10" t="s">
        <v>85</v>
      </c>
      <c r="F53" s="10" t="s">
        <v>146</v>
      </c>
    </row>
    <row r="54" spans="2:6" ht="15" customHeight="1" x14ac:dyDescent="0.55000000000000004">
      <c r="B54" s="10" t="s">
        <v>148</v>
      </c>
      <c r="D54" s="15">
        <v>5.0000000000000001E-3</v>
      </c>
      <c r="E54" s="10" t="s">
        <v>85</v>
      </c>
      <c r="F54" s="10" t="s">
        <v>146</v>
      </c>
    </row>
    <row r="56" spans="2:6" ht="15" customHeight="1" x14ac:dyDescent="0.55000000000000004">
      <c r="B56" s="1" t="s">
        <v>149</v>
      </c>
      <c r="C56" s="1"/>
      <c r="D56" s="1"/>
      <c r="E56" s="1"/>
      <c r="F56" s="1"/>
    </row>
    <row r="57" spans="2:6" ht="15" customHeight="1" x14ac:dyDescent="0.55000000000000004">
      <c r="B57" s="10" t="s">
        <v>150</v>
      </c>
      <c r="D57" s="18">
        <v>2.5000000000000001E-2</v>
      </c>
      <c r="E57" s="10" t="s">
        <v>85</v>
      </c>
      <c r="F57" s="10" t="s">
        <v>151</v>
      </c>
    </row>
    <row r="58" spans="2:6" ht="15" customHeight="1" x14ac:dyDescent="0.55000000000000004">
      <c r="B58" s="10" t="s">
        <v>152</v>
      </c>
      <c r="D58" s="18">
        <v>0</v>
      </c>
      <c r="E58" s="10" t="s">
        <v>85</v>
      </c>
      <c r="F58" s="10" t="s">
        <v>153</v>
      </c>
    </row>
    <row r="59" spans="2:6" ht="15" customHeight="1" x14ac:dyDescent="0.55000000000000004">
      <c r="B59" s="10" t="s">
        <v>154</v>
      </c>
      <c r="D59" s="15">
        <v>0.05</v>
      </c>
      <c r="E59" s="10" t="s">
        <v>85</v>
      </c>
      <c r="F59" s="10" t="s">
        <v>155</v>
      </c>
    </row>
    <row r="60" spans="2:6" ht="15" customHeight="1" x14ac:dyDescent="0.55000000000000004">
      <c r="B60" s="10" t="s">
        <v>156</v>
      </c>
      <c r="D60" s="15">
        <v>0</v>
      </c>
      <c r="E60" s="10" t="s">
        <v>85</v>
      </c>
      <c r="F60" s="10" t="s">
        <v>157</v>
      </c>
    </row>
    <row r="62" spans="2:6" ht="15" customHeight="1" x14ac:dyDescent="0.55000000000000004">
      <c r="B62" s="1" t="s">
        <v>158</v>
      </c>
      <c r="C62" s="1"/>
      <c r="D62" s="1"/>
      <c r="E62" s="1"/>
      <c r="F62" s="1"/>
    </row>
    <row r="63" spans="2:6" ht="15" customHeight="1" x14ac:dyDescent="0.55000000000000004">
      <c r="B63" s="10" t="s">
        <v>159</v>
      </c>
      <c r="D63" s="15">
        <v>0.05</v>
      </c>
      <c r="E63" s="10" t="s">
        <v>85</v>
      </c>
      <c r="F63" s="10" t="s">
        <v>160</v>
      </c>
    </row>
    <row r="64" spans="2:6" ht="15" customHeight="1" x14ac:dyDescent="0.55000000000000004">
      <c r="B64" s="10" t="s">
        <v>161</v>
      </c>
      <c r="D64" s="15">
        <v>0.05</v>
      </c>
      <c r="E64" s="10" t="s">
        <v>85</v>
      </c>
      <c r="F64" s="10" t="s">
        <v>162</v>
      </c>
    </row>
    <row r="65" spans="2:6" ht="15" customHeight="1" x14ac:dyDescent="0.55000000000000004">
      <c r="B65" s="10" t="s">
        <v>163</v>
      </c>
      <c r="D65" s="20">
        <v>1</v>
      </c>
      <c r="E65" s="10" t="s">
        <v>164</v>
      </c>
      <c r="F65" s="10" t="s">
        <v>165</v>
      </c>
    </row>
    <row r="66" spans="2:6" ht="15" customHeight="1" x14ac:dyDescent="0.55000000000000004">
      <c r="B66" s="10" t="s">
        <v>166</v>
      </c>
      <c r="D66" s="16">
        <f>Assumptions!$D$63+Assumptions!$D$65*Assumptions!$D$64</f>
        <v>0.1</v>
      </c>
      <c r="E66" s="10" t="s">
        <v>85</v>
      </c>
      <c r="F66" s="10" t="s">
        <v>167</v>
      </c>
    </row>
    <row r="67" spans="2:6" ht="15" customHeight="1" x14ac:dyDescent="0.55000000000000004">
      <c r="B67" s="10" t="s">
        <v>168</v>
      </c>
      <c r="D67" s="16">
        <f>Assumptions!$D$42*(1-Assumptions!$D$58)</f>
        <v>7.0000000000000007E-2</v>
      </c>
      <c r="E67" s="10" t="s">
        <v>85</v>
      </c>
      <c r="F67" s="10" t="s">
        <v>169</v>
      </c>
    </row>
    <row r="68" spans="2:6" ht="15" customHeight="1" x14ac:dyDescent="0.55000000000000004">
      <c r="B68" s="10" t="s">
        <v>170</v>
      </c>
      <c r="D68" s="16">
        <f>Assumptions!$D$66*(1-Assumptions!$D$41)+Assumptions!$D$67*Assumptions!$D$41</f>
        <v>8.5000000000000006E-2</v>
      </c>
      <c r="E68" s="10" t="s">
        <v>85</v>
      </c>
      <c r="F68" s="10" t="s">
        <v>79</v>
      </c>
    </row>
    <row r="70" spans="2:6" ht="15" customHeight="1" x14ac:dyDescent="0.55000000000000004">
      <c r="B70" s="1" t="s">
        <v>171</v>
      </c>
      <c r="C70" s="1"/>
      <c r="D70" s="1"/>
      <c r="E70" s="1"/>
      <c r="F70" s="1"/>
    </row>
    <row r="71" spans="2:6" ht="15" customHeight="1" x14ac:dyDescent="0.55000000000000004">
      <c r="B71" s="10" t="s">
        <v>172</v>
      </c>
      <c r="D71" s="18">
        <v>0.1</v>
      </c>
      <c r="E71" s="10" t="s">
        <v>85</v>
      </c>
      <c r="F71" s="10" t="s">
        <v>173</v>
      </c>
    </row>
    <row r="72" spans="2:6" ht="15" customHeight="1" x14ac:dyDescent="0.55000000000000004">
      <c r="B72" s="10" t="s">
        <v>174</v>
      </c>
      <c r="D72" s="21">
        <v>1.75</v>
      </c>
      <c r="E72" s="10" t="s">
        <v>164</v>
      </c>
      <c r="F72" s="10" t="s">
        <v>175</v>
      </c>
    </row>
    <row r="73" spans="2:6" ht="15" customHeight="1" x14ac:dyDescent="0.55000000000000004">
      <c r="B73" s="10" t="s">
        <v>176</v>
      </c>
      <c r="D73" s="20">
        <v>1.3</v>
      </c>
      <c r="E73" s="10" t="s">
        <v>164</v>
      </c>
      <c r="F73" s="10" t="s">
        <v>177</v>
      </c>
    </row>
    <row r="74" spans="2:6" ht="15" customHeight="1" x14ac:dyDescent="0.55000000000000004">
      <c r="B74" s="10" t="s">
        <v>178</v>
      </c>
      <c r="D74" s="15">
        <v>0.6</v>
      </c>
      <c r="E74" s="10" t="s">
        <v>85</v>
      </c>
      <c r="F74" s="10" t="s">
        <v>179</v>
      </c>
    </row>
    <row r="75" spans="2:6" ht="15" customHeight="1" x14ac:dyDescent="0.55000000000000004">
      <c r="B75" s="10" t="s">
        <v>180</v>
      </c>
      <c r="D75" s="15">
        <v>0.1</v>
      </c>
      <c r="E75" s="10" t="s">
        <v>85</v>
      </c>
      <c r="F75" s="10" t="s">
        <v>181</v>
      </c>
    </row>
  </sheetData>
  <mergeCells count="12">
    <mergeCell ref="B62:F62"/>
    <mergeCell ref="B70:F70"/>
    <mergeCell ref="B29:F29"/>
    <mergeCell ref="B35:F35"/>
    <mergeCell ref="B40:F40"/>
    <mergeCell ref="B50:F50"/>
    <mergeCell ref="B56:F56"/>
    <mergeCell ref="B2:F2"/>
    <mergeCell ref="B5:F5"/>
    <mergeCell ref="B10:F10"/>
    <mergeCell ref="B18:F18"/>
    <mergeCell ref="B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9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36" customWidth="1"/>
    <col min="3" max="3" width="2" customWidth="1"/>
    <col min="4" max="14" width="13" customWidth="1"/>
  </cols>
  <sheetData>
    <row r="2" spans="2:14" ht="27.75" customHeight="1" x14ac:dyDescent="0.55000000000000004">
      <c r="B2" s="3" t="s">
        <v>182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5" customHeight="1" x14ac:dyDescent="0.55000000000000004">
      <c r="B3" s="9" t="s">
        <v>183</v>
      </c>
      <c r="D3" s="22">
        <v>0</v>
      </c>
      <c r="E3" s="22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</row>
    <row r="4" spans="2:14" ht="15" customHeight="1" x14ac:dyDescent="0.55000000000000004">
      <c r="B4" s="9" t="s">
        <v>184</v>
      </c>
      <c r="D4" s="22">
        <f>Assumptions!$D$6+0</f>
        <v>2025</v>
      </c>
      <c r="E4" s="22">
        <f>Assumptions!$D$6+1</f>
        <v>2026</v>
      </c>
      <c r="F4" s="22">
        <f>Assumptions!$D$6+2</f>
        <v>2027</v>
      </c>
      <c r="G4" s="22">
        <f>Assumptions!$D$6+3</f>
        <v>2028</v>
      </c>
      <c r="H4" s="22">
        <f>Assumptions!$D$6+4</f>
        <v>2029</v>
      </c>
      <c r="I4" s="22">
        <f>Assumptions!$D$6+5</f>
        <v>2030</v>
      </c>
      <c r="J4" s="22">
        <f>Assumptions!$D$6+6</f>
        <v>2031</v>
      </c>
      <c r="K4" s="22">
        <f>Assumptions!$D$6+7</f>
        <v>2032</v>
      </c>
      <c r="L4" s="22">
        <f>Assumptions!$D$6+8</f>
        <v>2033</v>
      </c>
      <c r="M4" s="22">
        <f>Assumptions!$D$6+9</f>
        <v>2034</v>
      </c>
      <c r="N4" s="22">
        <f>Assumptions!$D$6+10</f>
        <v>2035</v>
      </c>
    </row>
    <row r="5" spans="2:14" ht="15" customHeight="1" x14ac:dyDescent="0.55000000000000004">
      <c r="B5" s="10" t="s">
        <v>185</v>
      </c>
      <c r="D5" s="23">
        <v>0</v>
      </c>
      <c r="E5" s="23">
        <f>IF(1&lt;=Assumptions!$D$7,1,0)</f>
        <v>1</v>
      </c>
      <c r="F5" s="23">
        <f>IF(2&lt;=Assumptions!$D$7,1,0)</f>
        <v>1</v>
      </c>
      <c r="G5" s="23">
        <f>IF(3&lt;=Assumptions!$D$7,1,0)</f>
        <v>1</v>
      </c>
      <c r="H5" s="23">
        <f>IF(4&lt;=Assumptions!$D$7,1,0)</f>
        <v>1</v>
      </c>
      <c r="I5" s="23">
        <f>IF(5&lt;=Assumptions!$D$7,1,0)</f>
        <v>1</v>
      </c>
      <c r="J5" s="23">
        <f>IF(6&lt;=Assumptions!$D$7,1,0)</f>
        <v>1</v>
      </c>
      <c r="K5" s="23">
        <f>IF(7&lt;=Assumptions!$D$7,1,0)</f>
        <v>1</v>
      </c>
      <c r="L5" s="23">
        <f>IF(8&lt;=Assumptions!$D$7,1,0)</f>
        <v>1</v>
      </c>
      <c r="M5" s="23">
        <f>IF(9&lt;=Assumptions!$D$7,1,0)</f>
        <v>1</v>
      </c>
      <c r="N5" s="23">
        <f>IF(10&lt;=Assumptions!$D$7,1,0)</f>
        <v>1</v>
      </c>
    </row>
    <row r="6" spans="2:14" ht="15" customHeight="1" x14ac:dyDescent="0.55000000000000004">
      <c r="B6" s="10" t="s">
        <v>186</v>
      </c>
      <c r="D6" s="23">
        <f>IF(0=Assumptions!$D$7,1,0)</f>
        <v>0</v>
      </c>
      <c r="E6" s="23">
        <f>IF(1=Assumptions!$D$7,1,0)</f>
        <v>0</v>
      </c>
      <c r="F6" s="23">
        <f>IF(2=Assumptions!$D$7,1,0)</f>
        <v>0</v>
      </c>
      <c r="G6" s="23">
        <f>IF(3=Assumptions!$D$7,1,0)</f>
        <v>0</v>
      </c>
      <c r="H6" s="23">
        <f>IF(4=Assumptions!$D$7,1,0)</f>
        <v>0</v>
      </c>
      <c r="I6" s="23">
        <f>IF(5=Assumptions!$D$7,1,0)</f>
        <v>0</v>
      </c>
      <c r="J6" s="23">
        <f>IF(6=Assumptions!$D$7,1,0)</f>
        <v>0</v>
      </c>
      <c r="K6" s="23">
        <f>IF(7=Assumptions!$D$7,1,0)</f>
        <v>0</v>
      </c>
      <c r="L6" s="23">
        <f>IF(8=Assumptions!$D$7,1,0)</f>
        <v>0</v>
      </c>
      <c r="M6" s="23">
        <f>IF(9=Assumptions!$D$7,1,0)</f>
        <v>0</v>
      </c>
      <c r="N6" s="23">
        <f>IF(10=Assumptions!$D$7,1,0)</f>
        <v>1</v>
      </c>
    </row>
    <row r="7" spans="2:14" ht="15" customHeight="1" x14ac:dyDescent="0.55000000000000004">
      <c r="B7" s="10" t="s">
        <v>187</v>
      </c>
      <c r="D7" s="23">
        <v>0</v>
      </c>
      <c r="E7" s="23">
        <v>0</v>
      </c>
      <c r="F7" s="23">
        <f>IF(Assumptions!$D$21=0,0,IF(MOD(2-1,Assumptions!$D$21)=0,1,0))</f>
        <v>0</v>
      </c>
      <c r="G7" s="23">
        <f>IF(Assumptions!$D$21=0,0,IF(MOD(3-1,Assumptions!$D$21)=0,1,0))</f>
        <v>1</v>
      </c>
      <c r="H7" s="23">
        <f>IF(Assumptions!$D$21=0,0,IF(MOD(4-1,Assumptions!$D$21)=0,1,0))</f>
        <v>0</v>
      </c>
      <c r="I7" s="23">
        <f>IF(Assumptions!$D$21=0,0,IF(MOD(5-1,Assumptions!$D$21)=0,1,0))</f>
        <v>1</v>
      </c>
      <c r="J7" s="23">
        <f>IF(Assumptions!$D$21=0,0,IF(MOD(6-1,Assumptions!$D$21)=0,1,0))</f>
        <v>0</v>
      </c>
      <c r="K7" s="23">
        <f>IF(Assumptions!$D$21=0,0,IF(MOD(7-1,Assumptions!$D$21)=0,1,0))</f>
        <v>1</v>
      </c>
      <c r="L7" s="23">
        <f>IF(Assumptions!$D$21=0,0,IF(MOD(8-1,Assumptions!$D$21)=0,1,0))</f>
        <v>0</v>
      </c>
      <c r="M7" s="23">
        <f>IF(Assumptions!$D$21=0,0,IF(MOD(9-1,Assumptions!$D$21)=0,1,0))</f>
        <v>1</v>
      </c>
      <c r="N7" s="23">
        <f>IF(Assumptions!$D$21=0,0,IF(MOD(10-1,Assumptions!$D$21)=0,1,0))</f>
        <v>0</v>
      </c>
    </row>
    <row r="8" spans="2:14" ht="15" customHeight="1" x14ac:dyDescent="0.55000000000000004">
      <c r="B8" s="10" t="s">
        <v>188</v>
      </c>
      <c r="D8" s="24">
        <v>1</v>
      </c>
      <c r="E8" s="24">
        <v>1</v>
      </c>
      <c r="F8" s="24">
        <f>E8*(1+F7*Assumptions!$D$20)</f>
        <v>1</v>
      </c>
      <c r="G8" s="24">
        <f>F8*(1+G7*Assumptions!$D$20)</f>
        <v>1.03</v>
      </c>
      <c r="H8" s="24">
        <f>G8*(1+H7*Assumptions!$D$20)</f>
        <v>1.03</v>
      </c>
      <c r="I8" s="24">
        <f>H8*(1+I7*Assumptions!$D$20)</f>
        <v>1.0609</v>
      </c>
      <c r="J8" s="24">
        <f>I8*(1+J7*Assumptions!$D$20)</f>
        <v>1.0609</v>
      </c>
      <c r="K8" s="24">
        <f>J8*(1+K7*Assumptions!$D$20)</f>
        <v>1.092727</v>
      </c>
      <c r="L8" s="24">
        <f>K8*(1+L7*Assumptions!$D$20)</f>
        <v>1.092727</v>
      </c>
      <c r="M8" s="24">
        <f>L8*(1+M7*Assumptions!$D$20)</f>
        <v>1.1255088100000001</v>
      </c>
      <c r="N8" s="24">
        <f>M8*(1+N7*Assumptions!$D$20)</f>
        <v>1.1255088100000001</v>
      </c>
    </row>
    <row r="9" spans="2:14" ht="15" customHeight="1" x14ac:dyDescent="0.55000000000000004">
      <c r="B9" s="10" t="s">
        <v>189</v>
      </c>
      <c r="D9" s="24">
        <v>1</v>
      </c>
      <c r="E9" s="24">
        <v>1</v>
      </c>
      <c r="F9" s="24">
        <f>E9*(1+Assumptions!$D$27)</f>
        <v>1.03</v>
      </c>
      <c r="G9" s="24">
        <f>F9*(1+Assumptions!$D$27)</f>
        <v>1.0609</v>
      </c>
      <c r="H9" s="24">
        <f>G9*(1+Assumptions!$D$27)</f>
        <v>1.092727</v>
      </c>
      <c r="I9" s="24">
        <f>H9*(1+Assumptions!$D$27)</f>
        <v>1.1255088100000001</v>
      </c>
      <c r="J9" s="24">
        <f>I9*(1+Assumptions!$D$27)</f>
        <v>1.1592740743000001</v>
      </c>
      <c r="K9" s="24">
        <f>J9*(1+Assumptions!$D$27)</f>
        <v>1.1940522965290001</v>
      </c>
      <c r="L9" s="24">
        <f>K9*(1+Assumptions!$D$27)</f>
        <v>1.2298738654248702</v>
      </c>
      <c r="M9" s="24">
        <f>L9*(1+Assumptions!$D$27)</f>
        <v>1.2667700813876164</v>
      </c>
      <c r="N9" s="24">
        <f>M9*(1+Assumptions!$D$27)</f>
        <v>1.3047731838292449</v>
      </c>
    </row>
  </sheetData>
  <mergeCells count="1">
    <mergeCell ref="B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8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36" customWidth="1"/>
    <col min="3" max="3" width="2" customWidth="1"/>
    <col min="4" max="14" width="13" customWidth="1"/>
  </cols>
  <sheetData>
    <row r="2" spans="2:14" ht="27.75" customHeight="1" x14ac:dyDescent="0.55000000000000004">
      <c r="B2" s="3" t="s">
        <v>190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5" customHeight="1" x14ac:dyDescent="0.55000000000000004">
      <c r="B3" s="9" t="s">
        <v>183</v>
      </c>
      <c r="D3" s="22">
        <v>0</v>
      </c>
      <c r="E3" s="22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</row>
    <row r="4" spans="2:14" ht="15" customHeight="1" x14ac:dyDescent="0.55000000000000004">
      <c r="B4" s="9" t="s">
        <v>184</v>
      </c>
      <c r="D4" s="22">
        <f>Assumptions!$D$6+0</f>
        <v>2025</v>
      </c>
      <c r="E4" s="22">
        <f>Assumptions!$D$6+1</f>
        <v>2026</v>
      </c>
      <c r="F4" s="22">
        <f>Assumptions!$D$6+2</f>
        <v>2027</v>
      </c>
      <c r="G4" s="22">
        <f>Assumptions!$D$6+3</f>
        <v>2028</v>
      </c>
      <c r="H4" s="22">
        <f>Assumptions!$D$6+4</f>
        <v>2029</v>
      </c>
      <c r="I4" s="22">
        <f>Assumptions!$D$6+5</f>
        <v>2030</v>
      </c>
      <c r="J4" s="22">
        <f>Assumptions!$D$6+6</f>
        <v>2031</v>
      </c>
      <c r="K4" s="22">
        <f>Assumptions!$D$6+7</f>
        <v>2032</v>
      </c>
      <c r="L4" s="22">
        <f>Assumptions!$D$6+8</f>
        <v>2033</v>
      </c>
      <c r="M4" s="22">
        <f>Assumptions!$D$6+9</f>
        <v>2034</v>
      </c>
      <c r="N4" s="22">
        <f>Assumptions!$D$6+10</f>
        <v>2035</v>
      </c>
    </row>
    <row r="5" spans="2:14" ht="15" customHeight="1" x14ac:dyDescent="0.55000000000000004">
      <c r="B5" s="10" t="s">
        <v>191</v>
      </c>
      <c r="D5" s="25">
        <f>Assumptions!$D$19*Timeline!D8*Timeline!D5</f>
        <v>0</v>
      </c>
      <c r="E5" s="25">
        <f>Assumptions!$D$19*Timeline!E8*Timeline!E5</f>
        <v>15000000</v>
      </c>
      <c r="F5" s="25">
        <f>Assumptions!$D$19*Timeline!F8*Timeline!F5</f>
        <v>15000000</v>
      </c>
      <c r="G5" s="25">
        <f>Assumptions!$D$19*Timeline!G8*Timeline!G5</f>
        <v>15450000</v>
      </c>
      <c r="H5" s="25">
        <f>Assumptions!$D$19*Timeline!H8*Timeline!H5</f>
        <v>15450000</v>
      </c>
      <c r="I5" s="25">
        <f>Assumptions!$D$19*Timeline!I8*Timeline!I5</f>
        <v>15913500</v>
      </c>
      <c r="J5" s="25">
        <f>Assumptions!$D$19*Timeline!J8*Timeline!J5</f>
        <v>15913500</v>
      </c>
      <c r="K5" s="25">
        <f>Assumptions!$D$19*Timeline!K8*Timeline!K5</f>
        <v>16390905</v>
      </c>
      <c r="L5" s="25">
        <f>Assumptions!$D$19*Timeline!L8*Timeline!L5</f>
        <v>16390905</v>
      </c>
      <c r="M5" s="25">
        <f>Assumptions!$D$19*Timeline!M8*Timeline!M5</f>
        <v>16882632.150000002</v>
      </c>
      <c r="N5" s="25">
        <f>Assumptions!$D$19*Timeline!N8*Timeline!N5</f>
        <v>16882632.150000002</v>
      </c>
    </row>
    <row r="6" spans="2:14" ht="15" customHeight="1" x14ac:dyDescent="0.55000000000000004">
      <c r="B6" s="10" t="s">
        <v>192</v>
      </c>
      <c r="D6" s="25">
        <f>-D5*Assumptions!$D$22</f>
        <v>0</v>
      </c>
      <c r="E6" s="25">
        <f>-E5*Assumptions!$D$22</f>
        <v>-750000</v>
      </c>
      <c r="F6" s="25">
        <f>-F5*Assumptions!$D$22</f>
        <v>-750000</v>
      </c>
      <c r="G6" s="25">
        <f>-G5*Assumptions!$D$22</f>
        <v>-772500</v>
      </c>
      <c r="H6" s="25">
        <f>-H5*Assumptions!$D$22</f>
        <v>-772500</v>
      </c>
      <c r="I6" s="25">
        <f>-I5*Assumptions!$D$22</f>
        <v>-795675</v>
      </c>
      <c r="J6" s="25">
        <f>-J5*Assumptions!$D$22</f>
        <v>-795675</v>
      </c>
      <c r="K6" s="25">
        <f>-K5*Assumptions!$D$22</f>
        <v>-819545.25</v>
      </c>
      <c r="L6" s="25">
        <f>-L5*Assumptions!$D$22</f>
        <v>-819545.25</v>
      </c>
      <c r="M6" s="25">
        <f>-M5*Assumptions!$D$22</f>
        <v>-844131.60750000016</v>
      </c>
      <c r="N6" s="25">
        <f>-N5*Assumptions!$D$22</f>
        <v>-844131.60750000016</v>
      </c>
    </row>
    <row r="7" spans="2:14" ht="15" customHeight="1" x14ac:dyDescent="0.55000000000000004">
      <c r="B7" s="26" t="s">
        <v>193</v>
      </c>
      <c r="D7" s="27">
        <f t="shared" ref="D7:N7" si="0">D5+D6</f>
        <v>0</v>
      </c>
      <c r="E7" s="27">
        <f t="shared" si="0"/>
        <v>14250000</v>
      </c>
      <c r="F7" s="27">
        <f t="shared" si="0"/>
        <v>14250000</v>
      </c>
      <c r="G7" s="27">
        <f t="shared" si="0"/>
        <v>14677500</v>
      </c>
      <c r="H7" s="27">
        <f t="shared" si="0"/>
        <v>14677500</v>
      </c>
      <c r="I7" s="27">
        <f t="shared" si="0"/>
        <v>15117825</v>
      </c>
      <c r="J7" s="27">
        <f t="shared" si="0"/>
        <v>15117825</v>
      </c>
      <c r="K7" s="27">
        <f t="shared" si="0"/>
        <v>15571359.75</v>
      </c>
      <c r="L7" s="27">
        <f t="shared" si="0"/>
        <v>15571359.75</v>
      </c>
      <c r="M7" s="27">
        <f t="shared" si="0"/>
        <v>16038500.542500002</v>
      </c>
      <c r="N7" s="27">
        <f t="shared" si="0"/>
        <v>16038500.542500002</v>
      </c>
    </row>
    <row r="8" spans="2:14" ht="15" customHeight="1" x14ac:dyDescent="0.55000000000000004">
      <c r="B8" s="10" t="s">
        <v>194</v>
      </c>
      <c r="D8" s="5"/>
      <c r="E8" s="28">
        <f t="shared" ref="E8:N8" si="1">IFERROR(IF(D7=0,0,E7/D7-1),0)</f>
        <v>0</v>
      </c>
      <c r="F8" s="28">
        <f t="shared" si="1"/>
        <v>0</v>
      </c>
      <c r="G8" s="28">
        <f t="shared" si="1"/>
        <v>3.0000000000000027E-2</v>
      </c>
      <c r="H8" s="28">
        <f t="shared" si="1"/>
        <v>0</v>
      </c>
      <c r="I8" s="28">
        <f t="shared" si="1"/>
        <v>3.0000000000000027E-2</v>
      </c>
      <c r="J8" s="28">
        <f t="shared" si="1"/>
        <v>0</v>
      </c>
      <c r="K8" s="28">
        <f t="shared" si="1"/>
        <v>3.0000000000000027E-2</v>
      </c>
      <c r="L8" s="28">
        <f t="shared" si="1"/>
        <v>0</v>
      </c>
      <c r="M8" s="28">
        <f t="shared" si="1"/>
        <v>3.0000000000000249E-2</v>
      </c>
      <c r="N8" s="28">
        <f t="shared" si="1"/>
        <v>0</v>
      </c>
    </row>
  </sheetData>
  <mergeCells count="1">
    <mergeCell ref="B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23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40" customWidth="1"/>
    <col min="3" max="3" width="2" customWidth="1"/>
    <col min="4" max="14" width="13" customWidth="1"/>
  </cols>
  <sheetData>
    <row r="2" spans="2:14" ht="27.75" customHeight="1" x14ac:dyDescent="0.55000000000000004">
      <c r="B2" s="3" t="s">
        <v>195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5" customHeight="1" x14ac:dyDescent="0.55000000000000004">
      <c r="B3" s="9" t="s">
        <v>183</v>
      </c>
      <c r="D3" s="22">
        <v>0</v>
      </c>
      <c r="E3" s="22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</row>
    <row r="4" spans="2:14" ht="15" customHeight="1" x14ac:dyDescent="0.55000000000000004">
      <c r="B4" s="9" t="s">
        <v>184</v>
      </c>
      <c r="D4" s="22">
        <f>Assumptions!$D$6+0</f>
        <v>2025</v>
      </c>
      <c r="E4" s="22">
        <f>Assumptions!$D$6+1</f>
        <v>2026</v>
      </c>
      <c r="F4" s="22">
        <f>Assumptions!$D$6+2</f>
        <v>2027</v>
      </c>
      <c r="G4" s="22">
        <f>Assumptions!$D$6+3</f>
        <v>2028</v>
      </c>
      <c r="H4" s="22">
        <f>Assumptions!$D$6+4</f>
        <v>2029</v>
      </c>
      <c r="I4" s="22">
        <f>Assumptions!$D$6+5</f>
        <v>2030</v>
      </c>
      <c r="J4" s="22">
        <f>Assumptions!$D$6+6</f>
        <v>2031</v>
      </c>
      <c r="K4" s="22">
        <f>Assumptions!$D$6+7</f>
        <v>2032</v>
      </c>
      <c r="L4" s="22">
        <f>Assumptions!$D$6+8</f>
        <v>2033</v>
      </c>
      <c r="M4" s="22">
        <f>Assumptions!$D$6+9</f>
        <v>2034</v>
      </c>
      <c r="N4" s="22">
        <f>Assumptions!$D$6+10</f>
        <v>2035</v>
      </c>
    </row>
    <row r="5" spans="2:14" ht="15" customHeight="1" x14ac:dyDescent="0.55000000000000004">
      <c r="B5" s="2" t="s">
        <v>196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ht="15" customHeight="1" x14ac:dyDescent="0.55000000000000004">
      <c r="B6" s="10" t="s">
        <v>197</v>
      </c>
      <c r="D6" s="25">
        <f>-Revenue!D7*Assumptions!$D$25*Timeline!D9/Timeline!E9</f>
        <v>0</v>
      </c>
      <c r="E6" s="25">
        <f>-Revenue!E7*Assumptions!$D$25*Timeline!E9/Timeline!E9</f>
        <v>-712500</v>
      </c>
      <c r="F6" s="25">
        <f>-Revenue!F7*Assumptions!$D$25*Timeline!F9/Timeline!E9</f>
        <v>-733875</v>
      </c>
      <c r="G6" s="25">
        <f>-Revenue!G7*Assumptions!$D$25*Timeline!G9/Timeline!E9</f>
        <v>-778567.98749999993</v>
      </c>
      <c r="H6" s="25">
        <f>-Revenue!H7*Assumptions!$D$25*Timeline!H9/Timeline!E9</f>
        <v>-801925.02712500002</v>
      </c>
      <c r="I6" s="25">
        <f>-Revenue!I7*Assumptions!$D$25*Timeline!I9/Timeline!E9</f>
        <v>-850762.26127691264</v>
      </c>
      <c r="J6" s="25">
        <f>-Revenue!J7*Assumptions!$D$25*Timeline!J9/Timeline!E9</f>
        <v>-876285.12911521993</v>
      </c>
      <c r="K6" s="25">
        <f>-Revenue!K7*Assumptions!$D$25*Timeline!K9/Timeline!E9</f>
        <v>-929650.89347833698</v>
      </c>
      <c r="L6" s="25">
        <f>-Revenue!L7*Assumptions!$D$25*Timeline!L9/Timeline!E9</f>
        <v>-957540.42028268706</v>
      </c>
      <c r="M6" s="25">
        <f>-Revenue!M7*Assumptions!$D$25*Timeline!M9/Timeline!E9</f>
        <v>-1015854.6318779029</v>
      </c>
      <c r="N6" s="25">
        <f>-Revenue!N7*Assumptions!$D$25*Timeline!N9/Timeline!E9</f>
        <v>-1046330.27083424</v>
      </c>
    </row>
    <row r="7" spans="2:14" ht="15" customHeight="1" x14ac:dyDescent="0.55000000000000004">
      <c r="B7" s="10" t="s">
        <v>198</v>
      </c>
      <c r="D7" s="25">
        <f>-Revenue!D7*Assumptions!$D$26</f>
        <v>0</v>
      </c>
      <c r="E7" s="25">
        <f>-Revenue!E7*Assumptions!$D$26</f>
        <v>0</v>
      </c>
      <c r="F7" s="25">
        <f>-Revenue!F7*Assumptions!$D$26</f>
        <v>0</v>
      </c>
      <c r="G7" s="25">
        <f>-Revenue!G7*Assumptions!$D$26</f>
        <v>0</v>
      </c>
      <c r="H7" s="25">
        <f>-Revenue!H7*Assumptions!$D$26</f>
        <v>0</v>
      </c>
      <c r="I7" s="25">
        <f>-Revenue!I7*Assumptions!$D$26</f>
        <v>0</v>
      </c>
      <c r="J7" s="25">
        <f>-Revenue!J7*Assumptions!$D$26</f>
        <v>0</v>
      </c>
      <c r="K7" s="25">
        <f>-Revenue!K7*Assumptions!$D$26</f>
        <v>0</v>
      </c>
      <c r="L7" s="25">
        <f>-Revenue!L7*Assumptions!$D$26</f>
        <v>0</v>
      </c>
      <c r="M7" s="25">
        <f>-Revenue!M7*Assumptions!$D$26</f>
        <v>0</v>
      </c>
      <c r="N7" s="25">
        <f>-Revenue!N7*Assumptions!$D$26</f>
        <v>0</v>
      </c>
    </row>
    <row r="8" spans="2:14" ht="15" customHeight="1" x14ac:dyDescent="0.55000000000000004">
      <c r="B8" s="26" t="s">
        <v>199</v>
      </c>
      <c r="D8" s="27">
        <f t="shared" ref="D8:N8" si="0">D6+D7</f>
        <v>0</v>
      </c>
      <c r="E8" s="27">
        <f t="shared" si="0"/>
        <v>-712500</v>
      </c>
      <c r="F8" s="27">
        <f t="shared" si="0"/>
        <v>-733875</v>
      </c>
      <c r="G8" s="27">
        <f t="shared" si="0"/>
        <v>-778567.98749999993</v>
      </c>
      <c r="H8" s="27">
        <f t="shared" si="0"/>
        <v>-801925.02712500002</v>
      </c>
      <c r="I8" s="27">
        <f t="shared" si="0"/>
        <v>-850762.26127691264</v>
      </c>
      <c r="J8" s="27">
        <f t="shared" si="0"/>
        <v>-876285.12911521993</v>
      </c>
      <c r="K8" s="27">
        <f t="shared" si="0"/>
        <v>-929650.89347833698</v>
      </c>
      <c r="L8" s="27">
        <f t="shared" si="0"/>
        <v>-957540.42028268706</v>
      </c>
      <c r="M8" s="27">
        <f t="shared" si="0"/>
        <v>-1015854.6318779029</v>
      </c>
      <c r="N8" s="27">
        <f t="shared" si="0"/>
        <v>-1046330.27083424</v>
      </c>
    </row>
    <row r="9" spans="2:14" ht="15" customHeight="1" x14ac:dyDescent="0.55000000000000004">
      <c r="B9" s="26" t="s">
        <v>200</v>
      </c>
      <c r="D9" s="27">
        <f>Revenue!D7+D8</f>
        <v>0</v>
      </c>
      <c r="E9" s="27">
        <f>Revenue!E7+E8</f>
        <v>13537500</v>
      </c>
      <c r="F9" s="27">
        <f>Revenue!F7+F8</f>
        <v>13516125</v>
      </c>
      <c r="G9" s="27">
        <f>Revenue!G7+G8</f>
        <v>13898932.012499999</v>
      </c>
      <c r="H9" s="27">
        <f>Revenue!H7+H8</f>
        <v>13875574.972874999</v>
      </c>
      <c r="I9" s="27">
        <f>Revenue!I7+I8</f>
        <v>14267062.738723088</v>
      </c>
      <c r="J9" s="27">
        <f>Revenue!J7+J8</f>
        <v>14241539.87088478</v>
      </c>
      <c r="K9" s="27">
        <f>Revenue!K7+K8</f>
        <v>14641708.856521662</v>
      </c>
      <c r="L9" s="27">
        <f>Revenue!L7+L8</f>
        <v>14613819.329717312</v>
      </c>
      <c r="M9" s="27">
        <f>Revenue!M7+M8</f>
        <v>15022645.910622099</v>
      </c>
      <c r="N9" s="27">
        <f>Revenue!N7+N8</f>
        <v>14992170.271665763</v>
      </c>
    </row>
    <row r="10" spans="2:14" ht="15" customHeight="1" x14ac:dyDescent="0.55000000000000004">
      <c r="B10" s="10" t="s">
        <v>201</v>
      </c>
      <c r="D10" s="29">
        <f>IFERROR(IF(Revenue!D7=0,0,D9/Revenue!D7),0)</f>
        <v>0</v>
      </c>
      <c r="E10" s="29">
        <f>IFERROR(IF(Revenue!E7=0,0,E9/Revenue!E7),0)</f>
        <v>0.95</v>
      </c>
      <c r="F10" s="29">
        <f>IFERROR(IF(Revenue!F7=0,0,F9/Revenue!F7),0)</f>
        <v>0.94850000000000001</v>
      </c>
      <c r="G10" s="29">
        <f>IFERROR(IF(Revenue!G7=0,0,G9/Revenue!G7),0)</f>
        <v>0.94695499999999999</v>
      </c>
      <c r="H10" s="29">
        <f>IFERROR(IF(Revenue!H7=0,0,H9/Revenue!H7),0)</f>
        <v>0.94536364999999989</v>
      </c>
      <c r="I10" s="29">
        <f>IFERROR(IF(Revenue!I7=0,0,I9/Revenue!I7),0)</f>
        <v>0.9437245595</v>
      </c>
      <c r="J10" s="29">
        <f>IFERROR(IF(Revenue!J7=0,0,J9/Revenue!J7),0)</f>
        <v>0.94203629628499996</v>
      </c>
      <c r="K10" s="29">
        <f>IFERROR(IF(Revenue!K7=0,0,K9/Revenue!K7),0)</f>
        <v>0.94029738517354999</v>
      </c>
      <c r="L10" s="29">
        <f>IFERROR(IF(Revenue!L7=0,0,L9/Revenue!L7),0)</f>
        <v>0.93850630672875646</v>
      </c>
      <c r="M10" s="29">
        <f>IFERROR(IF(Revenue!M7=0,0,M9/Revenue!M7),0)</f>
        <v>0.9366614959306192</v>
      </c>
      <c r="N10" s="29">
        <f>IFERROR(IF(Revenue!N7=0,0,N9/Revenue!N7),0)</f>
        <v>0.93476134080853779</v>
      </c>
    </row>
    <row r="12" spans="2:14" ht="15" customHeight="1" x14ac:dyDescent="0.55000000000000004">
      <c r="B12" s="2" t="s">
        <v>202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ht="15" customHeight="1" x14ac:dyDescent="0.55000000000000004">
      <c r="B13" s="10" t="s">
        <v>203</v>
      </c>
      <c r="D13" s="25">
        <f>-Assumptions!$D$16*Assumptions!$D$30*Timeline!D5</f>
        <v>0</v>
      </c>
      <c r="E13" s="25">
        <f>-Assumptions!$D$16*Assumptions!$D$30*Timeline!E5</f>
        <v>-646500.00000000012</v>
      </c>
      <c r="F13" s="25">
        <f>-Assumptions!$D$16*Assumptions!$D$30*Timeline!F5</f>
        <v>-646500.00000000012</v>
      </c>
      <c r="G13" s="25">
        <f>-Assumptions!$D$16*Assumptions!$D$30*Timeline!G5</f>
        <v>-646500.00000000012</v>
      </c>
      <c r="H13" s="25">
        <f>-Assumptions!$D$16*Assumptions!$D$30*Timeline!H5</f>
        <v>-646500.00000000012</v>
      </c>
      <c r="I13" s="25">
        <f>-Assumptions!$D$16*Assumptions!$D$30*Timeline!I5</f>
        <v>-646500.00000000012</v>
      </c>
      <c r="J13" s="25">
        <f>-Assumptions!$D$16*Assumptions!$D$30*Timeline!J5</f>
        <v>-646500.00000000012</v>
      </c>
      <c r="K13" s="25">
        <f>-Assumptions!$D$16*Assumptions!$D$30*Timeline!K5</f>
        <v>-646500.00000000012</v>
      </c>
      <c r="L13" s="25">
        <f>-Assumptions!$D$16*Assumptions!$D$30*Timeline!L5</f>
        <v>-646500.00000000012</v>
      </c>
      <c r="M13" s="25">
        <f>-Assumptions!$D$16*Assumptions!$D$30*Timeline!M5</f>
        <v>-646500.00000000012</v>
      </c>
      <c r="N13" s="25">
        <f>-Assumptions!$D$16*Assumptions!$D$30*Timeline!N5</f>
        <v>-646500.00000000012</v>
      </c>
    </row>
    <row r="14" spans="2:14" ht="15" customHeight="1" x14ac:dyDescent="0.55000000000000004">
      <c r="B14" s="10" t="s">
        <v>204</v>
      </c>
      <c r="D14" s="25">
        <f>-Assumptions!$D$16*Assumptions!$D$31*Timeline!D5</f>
        <v>0</v>
      </c>
      <c r="E14" s="25">
        <f>-Assumptions!$D$16*Assumptions!$D$31*Timeline!E5</f>
        <v>-86200.000000000015</v>
      </c>
      <c r="F14" s="25">
        <f>-Assumptions!$D$16*Assumptions!$D$31*Timeline!F5</f>
        <v>-86200.000000000015</v>
      </c>
      <c r="G14" s="25">
        <f>-Assumptions!$D$16*Assumptions!$D$31*Timeline!G5</f>
        <v>-86200.000000000015</v>
      </c>
      <c r="H14" s="25">
        <f>-Assumptions!$D$16*Assumptions!$D$31*Timeline!H5</f>
        <v>-86200.000000000015</v>
      </c>
      <c r="I14" s="25">
        <f>-Assumptions!$D$16*Assumptions!$D$31*Timeline!I5</f>
        <v>-86200.000000000015</v>
      </c>
      <c r="J14" s="25">
        <f>-Assumptions!$D$16*Assumptions!$D$31*Timeline!J5</f>
        <v>-86200.000000000015</v>
      </c>
      <c r="K14" s="25">
        <f>-Assumptions!$D$16*Assumptions!$D$31*Timeline!K5</f>
        <v>-86200.000000000015</v>
      </c>
      <c r="L14" s="25">
        <f>-Assumptions!$D$16*Assumptions!$D$31*Timeline!L5</f>
        <v>-86200.000000000015</v>
      </c>
      <c r="M14" s="25">
        <f>-Assumptions!$D$16*Assumptions!$D$31*Timeline!M5</f>
        <v>-86200.000000000015</v>
      </c>
      <c r="N14" s="25">
        <f>-Assumptions!$D$16*Assumptions!$D$31*Timeline!N5</f>
        <v>-86200.000000000015</v>
      </c>
    </row>
    <row r="15" spans="2:14" ht="15" customHeight="1" x14ac:dyDescent="0.55000000000000004">
      <c r="B15" s="10" t="s">
        <v>205</v>
      </c>
      <c r="D15" s="25">
        <f>-Assumptions!$D$16*Assumptions!$D$32*Timeline!D5</f>
        <v>0</v>
      </c>
      <c r="E15" s="25">
        <f>-Assumptions!$D$16*Assumptions!$D$32*Timeline!E5</f>
        <v>-107750.00000000001</v>
      </c>
      <c r="F15" s="25">
        <f>-Assumptions!$D$16*Assumptions!$D$32*Timeline!F5</f>
        <v>-107750.00000000001</v>
      </c>
      <c r="G15" s="25">
        <f>-Assumptions!$D$16*Assumptions!$D$32*Timeline!G5</f>
        <v>-107750.00000000001</v>
      </c>
      <c r="H15" s="25">
        <f>-Assumptions!$D$16*Assumptions!$D$32*Timeline!H5</f>
        <v>-107750.00000000001</v>
      </c>
      <c r="I15" s="25">
        <f>-Assumptions!$D$16*Assumptions!$D$32*Timeline!I5</f>
        <v>-107750.00000000001</v>
      </c>
      <c r="J15" s="25">
        <f>-Assumptions!$D$16*Assumptions!$D$32*Timeline!J5</f>
        <v>-107750.00000000001</v>
      </c>
      <c r="K15" s="25">
        <f>-Assumptions!$D$16*Assumptions!$D$32*Timeline!K5</f>
        <v>-107750.00000000001</v>
      </c>
      <c r="L15" s="25">
        <f>-Assumptions!$D$16*Assumptions!$D$32*Timeline!L5</f>
        <v>-107750.00000000001</v>
      </c>
      <c r="M15" s="25">
        <f>-Assumptions!$D$16*Assumptions!$D$32*Timeline!M5</f>
        <v>-107750.00000000001</v>
      </c>
      <c r="N15" s="25">
        <f>-Assumptions!$D$16*Assumptions!$D$32*Timeline!N5</f>
        <v>-107750.00000000001</v>
      </c>
    </row>
    <row r="16" spans="2:14" ht="15" customHeight="1" x14ac:dyDescent="0.55000000000000004">
      <c r="B16" s="10" t="s">
        <v>206</v>
      </c>
      <c r="D16" s="25">
        <f>-Assumptions!$D$33*Timeline!D9*Timeline!D5</f>
        <v>0</v>
      </c>
      <c r="E16" s="25">
        <f>-Assumptions!$D$33*Timeline!E9*Timeline!E5</f>
        <v>-285000</v>
      </c>
      <c r="F16" s="25">
        <f>-Assumptions!$D$33*Timeline!F9*Timeline!F5</f>
        <v>-293550</v>
      </c>
      <c r="G16" s="25">
        <f>-Assumptions!$D$33*Timeline!G9*Timeline!G5</f>
        <v>-302356.5</v>
      </c>
      <c r="H16" s="25">
        <f>-Assumptions!$D$33*Timeline!H9*Timeline!H5</f>
        <v>-311427.19500000001</v>
      </c>
      <c r="I16" s="25">
        <f>-Assumptions!$D$33*Timeline!I9*Timeline!I5</f>
        <v>-320770.01085000002</v>
      </c>
      <c r="J16" s="25">
        <f>-Assumptions!$D$33*Timeline!J9*Timeline!J5</f>
        <v>-330393.11117550003</v>
      </c>
      <c r="K16" s="25">
        <f>-Assumptions!$D$33*Timeline!K9*Timeline!K5</f>
        <v>-340304.90451076505</v>
      </c>
      <c r="L16" s="25">
        <f>-Assumptions!$D$33*Timeline!L9*Timeline!L5</f>
        <v>-350514.05164608802</v>
      </c>
      <c r="M16" s="25">
        <f>-Assumptions!$D$33*Timeline!M9*Timeline!M5</f>
        <v>-361029.47319547069</v>
      </c>
      <c r="N16" s="25">
        <f>-Assumptions!$D$33*Timeline!N9*Timeline!N5</f>
        <v>-371860.35739133478</v>
      </c>
    </row>
    <row r="17" spans="2:14" ht="15" customHeight="1" x14ac:dyDescent="0.55000000000000004">
      <c r="B17" s="26" t="s">
        <v>207</v>
      </c>
      <c r="D17" s="27">
        <f t="shared" ref="D17:N17" si="1">SUM(D13:D16)</f>
        <v>0</v>
      </c>
      <c r="E17" s="27">
        <f t="shared" si="1"/>
        <v>-1125450</v>
      </c>
      <c r="F17" s="27">
        <f t="shared" si="1"/>
        <v>-1134000</v>
      </c>
      <c r="G17" s="27">
        <f t="shared" si="1"/>
        <v>-1142806.5</v>
      </c>
      <c r="H17" s="27">
        <f t="shared" si="1"/>
        <v>-1151877.1950000001</v>
      </c>
      <c r="I17" s="27">
        <f t="shared" si="1"/>
        <v>-1161220.0108500002</v>
      </c>
      <c r="J17" s="27">
        <f t="shared" si="1"/>
        <v>-1170843.1111755001</v>
      </c>
      <c r="K17" s="27">
        <f t="shared" si="1"/>
        <v>-1180754.9045107651</v>
      </c>
      <c r="L17" s="27">
        <f t="shared" si="1"/>
        <v>-1190964.0516460882</v>
      </c>
      <c r="M17" s="27">
        <f t="shared" si="1"/>
        <v>-1201479.4731954709</v>
      </c>
      <c r="N17" s="27">
        <f t="shared" si="1"/>
        <v>-1212310.3573913348</v>
      </c>
    </row>
    <row r="18" spans="2:14" ht="15" customHeight="1" x14ac:dyDescent="0.55000000000000004">
      <c r="B18" s="26" t="s">
        <v>208</v>
      </c>
      <c r="D18" s="27">
        <f t="shared" ref="D18:N18" si="2">D9+D17</f>
        <v>0</v>
      </c>
      <c r="E18" s="27">
        <f t="shared" si="2"/>
        <v>12412050</v>
      </c>
      <c r="F18" s="27">
        <f t="shared" si="2"/>
        <v>12382125</v>
      </c>
      <c r="G18" s="27">
        <f t="shared" si="2"/>
        <v>12756125.512499999</v>
      </c>
      <c r="H18" s="27">
        <f t="shared" si="2"/>
        <v>12723697.777874999</v>
      </c>
      <c r="I18" s="27">
        <f t="shared" si="2"/>
        <v>13105842.727873087</v>
      </c>
      <c r="J18" s="27">
        <f t="shared" si="2"/>
        <v>13070696.75970928</v>
      </c>
      <c r="K18" s="27">
        <f t="shared" si="2"/>
        <v>13460953.952010898</v>
      </c>
      <c r="L18" s="27">
        <f t="shared" si="2"/>
        <v>13422855.278071225</v>
      </c>
      <c r="M18" s="27">
        <f t="shared" si="2"/>
        <v>13821166.437426629</v>
      </c>
      <c r="N18" s="27">
        <f t="shared" si="2"/>
        <v>13779859.914274428</v>
      </c>
    </row>
    <row r="20" spans="2:14" ht="15" customHeight="1" x14ac:dyDescent="0.55000000000000004">
      <c r="B20" s="2" t="s">
        <v>209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ht="15" customHeight="1" x14ac:dyDescent="0.55000000000000004">
      <c r="B21" s="10" t="s">
        <v>210</v>
      </c>
      <c r="D21" s="25">
        <f>-Revenue!D7*Assumptions!$D$36</f>
        <v>0</v>
      </c>
      <c r="E21" s="25">
        <f>-Revenue!E7*Assumptions!$D$36</f>
        <v>-213750</v>
      </c>
      <c r="F21" s="25">
        <f>-Revenue!F7*Assumptions!$D$36</f>
        <v>-213750</v>
      </c>
      <c r="G21" s="25">
        <f>-Revenue!G7*Assumptions!$D$36</f>
        <v>-220162.5</v>
      </c>
      <c r="H21" s="25">
        <f>-Revenue!H7*Assumptions!$D$36</f>
        <v>-220162.5</v>
      </c>
      <c r="I21" s="25">
        <f>-Revenue!I7*Assumptions!$D$36</f>
        <v>-226767.375</v>
      </c>
      <c r="J21" s="25">
        <f>-Revenue!J7*Assumptions!$D$36</f>
        <v>-226767.375</v>
      </c>
      <c r="K21" s="25">
        <f>-Revenue!K7*Assumptions!$D$36</f>
        <v>-233570.39624999999</v>
      </c>
      <c r="L21" s="25">
        <f>-Revenue!L7*Assumptions!$D$36</f>
        <v>-233570.39624999999</v>
      </c>
      <c r="M21" s="25">
        <f>-Revenue!M7*Assumptions!$D$36</f>
        <v>-240577.50813750003</v>
      </c>
      <c r="N21" s="25">
        <f>-Revenue!N7*Assumptions!$D$36</f>
        <v>-240577.50813750003</v>
      </c>
    </row>
    <row r="22" spans="2:14" ht="15" customHeight="1" x14ac:dyDescent="0.55000000000000004">
      <c r="B22" s="10" t="s">
        <v>211</v>
      </c>
      <c r="D22" s="25">
        <f>IF(0=Assumptions!$D$38,-Assumptions!$D$37,0)</f>
        <v>0</v>
      </c>
      <c r="E22" s="25">
        <f>IF(1=Assumptions!$D$38,-Assumptions!$D$37,0)</f>
        <v>0</v>
      </c>
      <c r="F22" s="25">
        <f>IF(2=Assumptions!$D$38,-Assumptions!$D$37,0)</f>
        <v>0</v>
      </c>
      <c r="G22" s="25">
        <f>IF(3=Assumptions!$D$38,-Assumptions!$D$37,0)</f>
        <v>0</v>
      </c>
      <c r="H22" s="25">
        <f>IF(4=Assumptions!$D$38,-Assumptions!$D$37,0)</f>
        <v>0</v>
      </c>
      <c r="I22" s="25">
        <f>IF(5=Assumptions!$D$38,-Assumptions!$D$37,0)</f>
        <v>-3000000</v>
      </c>
      <c r="J22" s="25">
        <f>IF(6=Assumptions!$D$38,-Assumptions!$D$37,0)</f>
        <v>0</v>
      </c>
      <c r="K22" s="25">
        <f>IF(7=Assumptions!$D$38,-Assumptions!$D$37,0)</f>
        <v>0</v>
      </c>
      <c r="L22" s="25">
        <f>IF(8=Assumptions!$D$38,-Assumptions!$D$37,0)</f>
        <v>0</v>
      </c>
      <c r="M22" s="25">
        <f>IF(9=Assumptions!$D$38,-Assumptions!$D$37,0)</f>
        <v>0</v>
      </c>
      <c r="N22" s="25">
        <f>IF(10=Assumptions!$D$38,-Assumptions!$D$37,0)</f>
        <v>0</v>
      </c>
    </row>
    <row r="23" spans="2:14" ht="15" customHeight="1" x14ac:dyDescent="0.55000000000000004">
      <c r="B23" s="26" t="s">
        <v>212</v>
      </c>
      <c r="D23" s="27">
        <f t="shared" ref="D23:N23" si="3">D21+D22</f>
        <v>0</v>
      </c>
      <c r="E23" s="27">
        <f t="shared" si="3"/>
        <v>-213750</v>
      </c>
      <c r="F23" s="27">
        <f t="shared" si="3"/>
        <v>-213750</v>
      </c>
      <c r="G23" s="27">
        <f t="shared" si="3"/>
        <v>-220162.5</v>
      </c>
      <c r="H23" s="27">
        <f t="shared" si="3"/>
        <v>-220162.5</v>
      </c>
      <c r="I23" s="27">
        <f t="shared" si="3"/>
        <v>-3226767.375</v>
      </c>
      <c r="J23" s="27">
        <f t="shared" si="3"/>
        <v>-226767.375</v>
      </c>
      <c r="K23" s="27">
        <f t="shared" si="3"/>
        <v>-233570.39624999999</v>
      </c>
      <c r="L23" s="27">
        <f t="shared" si="3"/>
        <v>-233570.39624999999</v>
      </c>
      <c r="M23" s="27">
        <f t="shared" si="3"/>
        <v>-240577.50813750003</v>
      </c>
      <c r="N23" s="27">
        <f t="shared" si="3"/>
        <v>-240577.50813750003</v>
      </c>
    </row>
  </sheetData>
  <mergeCells count="4">
    <mergeCell ref="B2:N2"/>
    <mergeCell ref="B5:N5"/>
    <mergeCell ref="B12:N12"/>
    <mergeCell ref="B20:N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8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36" customWidth="1"/>
    <col min="3" max="3" width="2" customWidth="1"/>
    <col min="4" max="14" width="13" customWidth="1"/>
  </cols>
  <sheetData>
    <row r="2" spans="2:14" ht="27.75" customHeight="1" x14ac:dyDescent="0.55000000000000004">
      <c r="B2" s="3" t="s">
        <v>213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5" customHeight="1" x14ac:dyDescent="0.55000000000000004">
      <c r="B3" s="9" t="s">
        <v>183</v>
      </c>
      <c r="D3" s="22">
        <v>0</v>
      </c>
      <c r="E3" s="22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</row>
    <row r="4" spans="2:14" ht="15" customHeight="1" x14ac:dyDescent="0.55000000000000004">
      <c r="B4" s="9" t="s">
        <v>184</v>
      </c>
      <c r="D4" s="22">
        <f>Assumptions!$D$6+0</f>
        <v>2025</v>
      </c>
      <c r="E4" s="22">
        <f>Assumptions!$D$6+1</f>
        <v>2026</v>
      </c>
      <c r="F4" s="22">
        <f>Assumptions!$D$6+2</f>
        <v>2027</v>
      </c>
      <c r="G4" s="22">
        <f>Assumptions!$D$6+3</f>
        <v>2028</v>
      </c>
      <c r="H4" s="22">
        <f>Assumptions!$D$6+4</f>
        <v>2029</v>
      </c>
      <c r="I4" s="22">
        <f>Assumptions!$D$6+5</f>
        <v>2030</v>
      </c>
      <c r="J4" s="22">
        <f>Assumptions!$D$6+6</f>
        <v>2031</v>
      </c>
      <c r="K4" s="22">
        <f>Assumptions!$D$6+7</f>
        <v>2032</v>
      </c>
      <c r="L4" s="22">
        <f>Assumptions!$D$6+8</f>
        <v>2033</v>
      </c>
      <c r="M4" s="22">
        <f>Assumptions!$D$6+9</f>
        <v>2034</v>
      </c>
      <c r="N4" s="22">
        <f>Assumptions!$D$6+10</f>
        <v>2035</v>
      </c>
    </row>
    <row r="5" spans="2:14" ht="15" customHeight="1" x14ac:dyDescent="0.55000000000000004">
      <c r="B5" s="10" t="s">
        <v>214</v>
      </c>
      <c r="D5" s="25">
        <v>0</v>
      </c>
      <c r="E5" s="25">
        <f t="shared" ref="E5:N5" si="0">D9</f>
        <v>107750000.00000001</v>
      </c>
      <c r="F5" s="25">
        <f t="shared" si="0"/>
        <v>107750000.00000001</v>
      </c>
      <c r="G5" s="25">
        <f t="shared" si="0"/>
        <v>107750000.00000001</v>
      </c>
      <c r="H5" s="25">
        <f t="shared" si="0"/>
        <v>107750000.00000001</v>
      </c>
      <c r="I5" s="25">
        <f t="shared" si="0"/>
        <v>107750000.00000001</v>
      </c>
      <c r="J5" s="25">
        <f t="shared" si="0"/>
        <v>107750000.00000001</v>
      </c>
      <c r="K5" s="25">
        <f t="shared" si="0"/>
        <v>107750000.00000001</v>
      </c>
      <c r="L5" s="25">
        <f t="shared" si="0"/>
        <v>107750000.00000001</v>
      </c>
      <c r="M5" s="25">
        <f t="shared" si="0"/>
        <v>107750000.00000001</v>
      </c>
      <c r="N5" s="25">
        <f t="shared" si="0"/>
        <v>107750000.00000001</v>
      </c>
    </row>
    <row r="6" spans="2:14" ht="15" customHeight="1" x14ac:dyDescent="0.55000000000000004">
      <c r="B6" s="10" t="s">
        <v>215</v>
      </c>
      <c r="D6" s="25">
        <f>Assumptions!$D$47</f>
        <v>107750000.00000001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</row>
    <row r="7" spans="2:14" ht="15" customHeight="1" x14ac:dyDescent="0.55000000000000004">
      <c r="B7" s="10" t="s">
        <v>216</v>
      </c>
      <c r="D7" s="25">
        <v>0</v>
      </c>
      <c r="E7" s="25">
        <f>-IF(AND(Assumptions!$D$44=1,1&gt;Assumptions!$D$46,1&lt;Assumptions!$D$7,Assumptions!$D$45-Assumptions!$D$46&gt;0),Assumptions!$D$47/(Assumptions!$D$45-Assumptions!$D$46),0)</f>
        <v>0</v>
      </c>
      <c r="F7" s="25">
        <f>-IF(AND(Assumptions!$D$44=1,2&gt;Assumptions!$D$46,2&lt;Assumptions!$D$7,Assumptions!$D$45-Assumptions!$D$46&gt;0),Assumptions!$D$47/(Assumptions!$D$45-Assumptions!$D$46),0)</f>
        <v>0</v>
      </c>
      <c r="G7" s="25">
        <f>-IF(AND(Assumptions!$D$44=1,3&gt;Assumptions!$D$46,3&lt;Assumptions!$D$7,Assumptions!$D$45-Assumptions!$D$46&gt;0),Assumptions!$D$47/(Assumptions!$D$45-Assumptions!$D$46),0)</f>
        <v>0</v>
      </c>
      <c r="H7" s="25">
        <f>-IF(AND(Assumptions!$D$44=1,4&gt;Assumptions!$D$46,4&lt;Assumptions!$D$7,Assumptions!$D$45-Assumptions!$D$46&gt;0),Assumptions!$D$47/(Assumptions!$D$45-Assumptions!$D$46),0)</f>
        <v>0</v>
      </c>
      <c r="I7" s="25">
        <f>-IF(AND(Assumptions!$D$44=1,5&gt;Assumptions!$D$46,5&lt;Assumptions!$D$7,Assumptions!$D$45-Assumptions!$D$46&gt;0),Assumptions!$D$47/(Assumptions!$D$45-Assumptions!$D$46),0)</f>
        <v>0</v>
      </c>
      <c r="J7" s="25">
        <f>-IF(AND(Assumptions!$D$44=1,6&gt;Assumptions!$D$46,6&lt;Assumptions!$D$7,Assumptions!$D$45-Assumptions!$D$46&gt;0),Assumptions!$D$47/(Assumptions!$D$45-Assumptions!$D$46),0)</f>
        <v>0</v>
      </c>
      <c r="K7" s="25">
        <f>-IF(AND(Assumptions!$D$44=1,7&gt;Assumptions!$D$46,7&lt;Assumptions!$D$7,Assumptions!$D$45-Assumptions!$D$46&gt;0),Assumptions!$D$47/(Assumptions!$D$45-Assumptions!$D$46),0)</f>
        <v>0</v>
      </c>
      <c r="L7" s="25">
        <f>-IF(AND(Assumptions!$D$44=1,8&gt;Assumptions!$D$46,8&lt;Assumptions!$D$7,Assumptions!$D$45-Assumptions!$D$46&gt;0),Assumptions!$D$47/(Assumptions!$D$45-Assumptions!$D$46),0)</f>
        <v>0</v>
      </c>
      <c r="M7" s="25">
        <f>-IF(AND(Assumptions!$D$44=1,9&gt;Assumptions!$D$46,9&lt;Assumptions!$D$7,Assumptions!$D$45-Assumptions!$D$46&gt;0),Assumptions!$D$47/(Assumptions!$D$45-Assumptions!$D$46),0)</f>
        <v>0</v>
      </c>
      <c r="N7" s="25">
        <f>-IF(AND(Assumptions!$D$44=1,10&gt;Assumptions!$D$46,10&lt;Assumptions!$D$7,Assumptions!$D$45-Assumptions!$D$46&gt;0),Assumptions!$D$47/(Assumptions!$D$45-Assumptions!$D$46),0)</f>
        <v>0</v>
      </c>
    </row>
    <row r="8" spans="2:14" ht="15" customHeight="1" x14ac:dyDescent="0.55000000000000004">
      <c r="B8" s="10" t="s">
        <v>217</v>
      </c>
      <c r="D8" s="25">
        <v>0</v>
      </c>
      <c r="E8" s="25">
        <f>-IF(1=Assumptions!$D$7,E5+E6+E7,0)</f>
        <v>0</v>
      </c>
      <c r="F8" s="25">
        <f>-IF(2=Assumptions!$D$7,F5+F6+F7,0)</f>
        <v>0</v>
      </c>
      <c r="G8" s="25">
        <f>-IF(3=Assumptions!$D$7,G5+G6+G7,0)</f>
        <v>0</v>
      </c>
      <c r="H8" s="25">
        <f>-IF(4=Assumptions!$D$7,H5+H6+H7,0)</f>
        <v>0</v>
      </c>
      <c r="I8" s="25">
        <f>-IF(5=Assumptions!$D$7,I5+I6+I7,0)</f>
        <v>0</v>
      </c>
      <c r="J8" s="25">
        <f>-IF(6=Assumptions!$D$7,J5+J6+J7,0)</f>
        <v>0</v>
      </c>
      <c r="K8" s="25">
        <f>-IF(7=Assumptions!$D$7,K5+K6+K7,0)</f>
        <v>0</v>
      </c>
      <c r="L8" s="25">
        <f>-IF(8=Assumptions!$D$7,L5+L6+L7,0)</f>
        <v>0</v>
      </c>
      <c r="M8" s="25">
        <f>-IF(9=Assumptions!$D$7,M5+M6+M7,0)</f>
        <v>0</v>
      </c>
      <c r="N8" s="25">
        <f>-IF(10=Assumptions!$D$7,N5+N6+N7,0)</f>
        <v>-107750000.00000001</v>
      </c>
    </row>
    <row r="9" spans="2:14" ht="15" customHeight="1" x14ac:dyDescent="0.55000000000000004">
      <c r="B9" s="26" t="s">
        <v>218</v>
      </c>
      <c r="D9" s="27">
        <f t="shared" ref="D9:N9" si="1">D5+D6+D7+D8</f>
        <v>107750000.00000001</v>
      </c>
      <c r="E9" s="27">
        <f t="shared" si="1"/>
        <v>107750000.00000001</v>
      </c>
      <c r="F9" s="27">
        <f t="shared" si="1"/>
        <v>107750000.00000001</v>
      </c>
      <c r="G9" s="27">
        <f t="shared" si="1"/>
        <v>107750000.00000001</v>
      </c>
      <c r="H9" s="27">
        <f t="shared" si="1"/>
        <v>107750000.00000001</v>
      </c>
      <c r="I9" s="27">
        <f t="shared" si="1"/>
        <v>107750000.00000001</v>
      </c>
      <c r="J9" s="27">
        <f t="shared" si="1"/>
        <v>107750000.00000001</v>
      </c>
      <c r="K9" s="27">
        <f t="shared" si="1"/>
        <v>107750000.00000001</v>
      </c>
      <c r="L9" s="27">
        <f t="shared" si="1"/>
        <v>107750000.00000001</v>
      </c>
      <c r="M9" s="27">
        <f t="shared" si="1"/>
        <v>107750000.00000001</v>
      </c>
      <c r="N9" s="27">
        <f t="shared" si="1"/>
        <v>0</v>
      </c>
    </row>
    <row r="10" spans="2:14" ht="15" customHeight="1" x14ac:dyDescent="0.55000000000000004">
      <c r="B10" s="10" t="s">
        <v>219</v>
      </c>
      <c r="D10" s="25">
        <v>0</v>
      </c>
      <c r="E10" s="25">
        <f>-E5*Assumptions!$D$42*Timeline!E5</f>
        <v>-7542500.0000000019</v>
      </c>
      <c r="F10" s="25">
        <f>-F5*Assumptions!$D$42*Timeline!F5</f>
        <v>-7542500.0000000019</v>
      </c>
      <c r="G10" s="25">
        <f>-G5*Assumptions!$D$42*Timeline!G5</f>
        <v>-7542500.0000000019</v>
      </c>
      <c r="H10" s="25">
        <f>-H5*Assumptions!$D$42*Timeline!H5</f>
        <v>-7542500.0000000019</v>
      </c>
      <c r="I10" s="25">
        <f>-I5*Assumptions!$D$42*Timeline!I5</f>
        <v>-7542500.0000000019</v>
      </c>
      <c r="J10" s="25">
        <f>-J5*Assumptions!$D$42*Timeline!J5</f>
        <v>-7542500.0000000019</v>
      </c>
      <c r="K10" s="25">
        <f>-K5*Assumptions!$D$42*Timeline!K5</f>
        <v>-7542500.0000000019</v>
      </c>
      <c r="L10" s="25">
        <f>-L5*Assumptions!$D$42*Timeline!L5</f>
        <v>-7542500.0000000019</v>
      </c>
      <c r="M10" s="25">
        <f>-M5*Assumptions!$D$42*Timeline!M5</f>
        <v>-7542500.0000000019</v>
      </c>
      <c r="N10" s="25">
        <f>-N5*Assumptions!$D$42*Timeline!N5</f>
        <v>-7542500.0000000019</v>
      </c>
    </row>
    <row r="11" spans="2:14" ht="15" customHeight="1" x14ac:dyDescent="0.55000000000000004">
      <c r="B11" s="10" t="s">
        <v>220</v>
      </c>
      <c r="D11" s="25">
        <f>-Assumptions!$D$47*Assumptions!$D$43</f>
        <v>-269375.00000000006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</row>
    <row r="12" spans="2:14" ht="15" customHeight="1" x14ac:dyDescent="0.55000000000000004">
      <c r="B12" s="26" t="s">
        <v>221</v>
      </c>
      <c r="D12" s="27">
        <f t="shared" ref="D12:N12" si="2">D7+D8+D10+D11</f>
        <v>-269375.00000000006</v>
      </c>
      <c r="E12" s="27">
        <f t="shared" si="2"/>
        <v>-7542500.0000000019</v>
      </c>
      <c r="F12" s="27">
        <f t="shared" si="2"/>
        <v>-7542500.0000000019</v>
      </c>
      <c r="G12" s="27">
        <f t="shared" si="2"/>
        <v>-7542500.0000000019</v>
      </c>
      <c r="H12" s="27">
        <f t="shared" si="2"/>
        <v>-7542500.0000000019</v>
      </c>
      <c r="I12" s="27">
        <f t="shared" si="2"/>
        <v>-7542500.0000000019</v>
      </c>
      <c r="J12" s="27">
        <f t="shared" si="2"/>
        <v>-7542500.0000000019</v>
      </c>
      <c r="K12" s="27">
        <f t="shared" si="2"/>
        <v>-7542500.0000000019</v>
      </c>
      <c r="L12" s="27">
        <f t="shared" si="2"/>
        <v>-7542500.0000000019</v>
      </c>
      <c r="M12" s="27">
        <f t="shared" si="2"/>
        <v>-7542500.0000000019</v>
      </c>
      <c r="N12" s="27">
        <f t="shared" si="2"/>
        <v>-115292500.00000001</v>
      </c>
    </row>
    <row r="14" spans="2:14" ht="15" customHeight="1" x14ac:dyDescent="0.55000000000000004">
      <c r="B14" s="2" t="s">
        <v>222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ht="15" customHeight="1" x14ac:dyDescent="0.55000000000000004">
      <c r="B15" s="10" t="s">
        <v>223</v>
      </c>
      <c r="D15" s="30">
        <f>IFERROR(IF(D10=0,999,OpEx_CapEx!D9/ABS(D10)),999)</f>
        <v>999</v>
      </c>
      <c r="E15" s="30">
        <f>IFERROR(IF(E10=0,999,OpEx_CapEx!E9/ABS(E10)),999)</f>
        <v>1.7948293006297642</v>
      </c>
      <c r="F15" s="30">
        <f>IFERROR(IF(F10=0,999,OpEx_CapEx!F9/ABS(F10)),999)</f>
        <v>1.7919953596287699</v>
      </c>
      <c r="G15" s="30">
        <f>IFERROR(IF(G10=0,999,OpEx_CapEx!G9/ABS(G10)),999)</f>
        <v>1.8427486924096779</v>
      </c>
      <c r="H15" s="30">
        <f>IFERROR(IF(H10=0,999,OpEx_CapEx!H9/ABS(H10)),999)</f>
        <v>1.8396519685614843</v>
      </c>
      <c r="I15" s="30">
        <f>IFERROR(IF(I10=0,999,OpEx_CapEx!I9/ABS(I10)),999)</f>
        <v>1.8915562132877806</v>
      </c>
      <c r="J15" s="30">
        <f>IFERROR(IF(J10=0,999,OpEx_CapEx!J9/ABS(J10)),999)</f>
        <v>1.8881723395273153</v>
      </c>
      <c r="K15" s="30">
        <f>IFERROR(IF(K10=0,999,OpEx_CapEx!K9/ABS(K10)),999)</f>
        <v>1.9412275580406575</v>
      </c>
      <c r="L15" s="30">
        <f>IFERROR(IF(L10=0,999,OpEx_CapEx!L9/ABS(L10)),999)</f>
        <v>1.9375299078180057</v>
      </c>
      <c r="M15" s="30">
        <f>IFERROR(IF(M10=0,999,OpEx_CapEx!M9/ABS(M10)),999)</f>
        <v>1.9917329679313351</v>
      </c>
      <c r="N15" s="30">
        <f>IFERROR(IF(N10=0,999,OpEx_CapEx!N9/ABS(N10)),999)</f>
        <v>1.9876924456964877</v>
      </c>
    </row>
    <row r="16" spans="2:14" ht="15" customHeight="1" x14ac:dyDescent="0.55000000000000004">
      <c r="B16" s="10" t="s">
        <v>224</v>
      </c>
      <c r="D16" s="30">
        <f>IFERROR(IF(ABS(D10)+ABS(D7)+ABS(D8)=0,999,OpEx_CapEx!D9/(ABS(D10)+ABS(D7)+ABS(D8))),999)</f>
        <v>999</v>
      </c>
      <c r="E16" s="30">
        <f>IFERROR(IF(ABS(E10)+ABS(E7)+ABS(E8)=0,999,OpEx_CapEx!E9/(ABS(E10)+ABS(E7)+ABS(E8))),999)</f>
        <v>1.7948293006297642</v>
      </c>
      <c r="F16" s="30">
        <f>IFERROR(IF(ABS(F10)+ABS(F7)+ABS(F8)=0,999,OpEx_CapEx!F9/(ABS(F10)+ABS(F7)+ABS(F8))),999)</f>
        <v>1.7919953596287699</v>
      </c>
      <c r="G16" s="30">
        <f>IFERROR(IF(ABS(G10)+ABS(G7)+ABS(G8)=0,999,OpEx_CapEx!G9/(ABS(G10)+ABS(G7)+ABS(G8))),999)</f>
        <v>1.8427486924096779</v>
      </c>
      <c r="H16" s="30">
        <f>IFERROR(IF(ABS(H10)+ABS(H7)+ABS(H8)=0,999,OpEx_CapEx!H9/(ABS(H10)+ABS(H7)+ABS(H8))),999)</f>
        <v>1.8396519685614843</v>
      </c>
      <c r="I16" s="30">
        <f>IFERROR(IF(ABS(I10)+ABS(I7)+ABS(I8)=0,999,OpEx_CapEx!I9/(ABS(I10)+ABS(I7)+ABS(I8))),999)</f>
        <v>1.8915562132877806</v>
      </c>
      <c r="J16" s="30">
        <f>IFERROR(IF(ABS(J10)+ABS(J7)+ABS(J8)=0,999,OpEx_CapEx!J9/(ABS(J10)+ABS(J7)+ABS(J8))),999)</f>
        <v>1.8881723395273153</v>
      </c>
      <c r="K16" s="30">
        <f>IFERROR(IF(ABS(K10)+ABS(K7)+ABS(K8)=0,999,OpEx_CapEx!K9/(ABS(K10)+ABS(K7)+ABS(K8))),999)</f>
        <v>1.9412275580406575</v>
      </c>
      <c r="L16" s="30">
        <f>IFERROR(IF(ABS(L10)+ABS(L7)+ABS(L8)=0,999,OpEx_CapEx!L9/(ABS(L10)+ABS(L7)+ABS(L8))),999)</f>
        <v>1.9375299078180057</v>
      </c>
      <c r="M16" s="30">
        <f>IFERROR(IF(ABS(M10)+ABS(M7)+ABS(M8)=0,999,OpEx_CapEx!M9/(ABS(M10)+ABS(M7)+ABS(M8))),999)</f>
        <v>1.9917329679313351</v>
      </c>
      <c r="N16" s="30">
        <f>IFERROR(IF(ABS(N10)+ABS(N7)+ABS(N8)=0,999,OpEx_CapEx!N9/(ABS(N10)+ABS(N7)+ABS(N8))),999)</f>
        <v>0.13003595439135904</v>
      </c>
    </row>
    <row r="17" spans="2:14" ht="15" customHeight="1" x14ac:dyDescent="0.55000000000000004">
      <c r="B17" s="10" t="s">
        <v>225</v>
      </c>
      <c r="D17" s="29">
        <f>IFERROR(IF(Assumptions!$D$16=0,0,D9/Assumptions!$D$16),0)</f>
        <v>0.5</v>
      </c>
      <c r="E17" s="29">
        <f>IFERROR(IF(Assumptions!$D$16=0,0,E9/Assumptions!$D$16),0)</f>
        <v>0.5</v>
      </c>
      <c r="F17" s="29">
        <f>IFERROR(IF(Assumptions!$D$16=0,0,F9/Assumptions!$D$16),0)</f>
        <v>0.5</v>
      </c>
      <c r="G17" s="29">
        <f>IFERROR(IF(Assumptions!$D$16=0,0,G9/Assumptions!$D$16),0)</f>
        <v>0.5</v>
      </c>
      <c r="H17" s="29">
        <f>IFERROR(IF(Assumptions!$D$16=0,0,H9/Assumptions!$D$16),0)</f>
        <v>0.5</v>
      </c>
      <c r="I17" s="29">
        <f>IFERROR(IF(Assumptions!$D$16=0,0,I9/Assumptions!$D$16),0)</f>
        <v>0.5</v>
      </c>
      <c r="J17" s="29">
        <f>IFERROR(IF(Assumptions!$D$16=0,0,J9/Assumptions!$D$16),0)</f>
        <v>0.5</v>
      </c>
      <c r="K17" s="29">
        <f>IFERROR(IF(Assumptions!$D$16=0,0,K9/Assumptions!$D$16),0)</f>
        <v>0.5</v>
      </c>
      <c r="L17" s="29">
        <f>IFERROR(IF(Assumptions!$D$16=0,0,L9/Assumptions!$D$16),0)</f>
        <v>0.5</v>
      </c>
      <c r="M17" s="29">
        <f>IFERROR(IF(Assumptions!$D$16=0,0,M9/Assumptions!$D$16),0)</f>
        <v>0.5</v>
      </c>
      <c r="N17" s="29">
        <f>IFERROR(IF(Assumptions!$D$16=0,0,N9/Assumptions!$D$16),0)</f>
        <v>0</v>
      </c>
    </row>
    <row r="18" spans="2:14" ht="15" customHeight="1" x14ac:dyDescent="0.55000000000000004">
      <c r="B18" s="10" t="s">
        <v>226</v>
      </c>
      <c r="D18" s="29">
        <f>IFERROR(IF(D9=0,"",OpEx_CapEx!D9/D9),"")</f>
        <v>0</v>
      </c>
      <c r="E18" s="29">
        <f>IFERROR(IF(E9=0,"",OpEx_CapEx!E9/E9),"")</f>
        <v>0.12563805104408352</v>
      </c>
      <c r="F18" s="29">
        <f>IFERROR(IF(F9=0,"",OpEx_CapEx!F9/F9),"")</f>
        <v>0.12543967517401391</v>
      </c>
      <c r="G18" s="29">
        <f>IFERROR(IF(G9=0,"",OpEx_CapEx!G9/G9),"")</f>
        <v>0.12899240846867746</v>
      </c>
      <c r="H18" s="29">
        <f>IFERROR(IF(H9=0,"",OpEx_CapEx!H9/H9),"")</f>
        <v>0.12877563779930393</v>
      </c>
      <c r="I18" s="29">
        <f>IFERROR(IF(I9=0,"",OpEx_CapEx!I9/I9),"")</f>
        <v>0.13240893493014466</v>
      </c>
      <c r="J18" s="29">
        <f>IFERROR(IF(J9=0,"",OpEx_CapEx!J9/J9),"")</f>
        <v>0.1321720637669121</v>
      </c>
      <c r="K18" s="29">
        <f>IFERROR(IF(K9=0,"",OpEx_CapEx!K9/K9),"")</f>
        <v>0.13588592906284602</v>
      </c>
      <c r="L18" s="29">
        <f>IFERROR(IF(L9=0,"",OpEx_CapEx!L9/L9),"")</f>
        <v>0.13562709354726041</v>
      </c>
      <c r="M18" s="29">
        <f>IFERROR(IF(M9=0,"",OpEx_CapEx!M9/M9),"")</f>
        <v>0.13942130775519349</v>
      </c>
      <c r="N18" s="29" t="str">
        <f>IFERROR(IF(N9=0,"",OpEx_CapEx!N9/N9),"")</f>
        <v/>
      </c>
    </row>
  </sheetData>
  <mergeCells count="2">
    <mergeCell ref="B2:N2"/>
    <mergeCell ref="B14:N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lessThan" id="{00000000-000E-0000-0500-000002000000}">
            <xm:f>Assumptions!$D$73</xm:f>
            <x14:dxf>
              <font>
                <b/>
                <color rgb="FFC00000"/>
                <name val="Arial"/>
                <charset val="1"/>
              </font>
              <fill>
                <patternFill>
                  <bgColor rgb="FFF8CBAD"/>
                </patternFill>
              </fill>
            </x14:dxf>
          </x14:cfRule>
          <xm:sqref>E16:N16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13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40" customWidth="1"/>
    <col min="3" max="3" width="2" customWidth="1"/>
    <col min="4" max="14" width="13" customWidth="1"/>
  </cols>
  <sheetData>
    <row r="2" spans="2:14" ht="27.75" customHeight="1" x14ac:dyDescent="0.55000000000000004">
      <c r="B2" s="3" t="s">
        <v>227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5" customHeight="1" x14ac:dyDescent="0.55000000000000004">
      <c r="B3" s="9" t="s">
        <v>183</v>
      </c>
      <c r="D3" s="22">
        <v>0</v>
      </c>
      <c r="E3" s="22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</row>
    <row r="4" spans="2:14" ht="15" customHeight="1" x14ac:dyDescent="0.55000000000000004">
      <c r="B4" s="9" t="s">
        <v>184</v>
      </c>
      <c r="D4" s="22">
        <f>Assumptions!$D$6+0</f>
        <v>2025</v>
      </c>
      <c r="E4" s="22">
        <f>Assumptions!$D$6+1</f>
        <v>2026</v>
      </c>
      <c r="F4" s="22">
        <f>Assumptions!$D$6+2</f>
        <v>2027</v>
      </c>
      <c r="G4" s="22">
        <f>Assumptions!$D$6+3</f>
        <v>2028</v>
      </c>
      <c r="H4" s="22">
        <f>Assumptions!$D$6+4</f>
        <v>2029</v>
      </c>
      <c r="I4" s="22">
        <f>Assumptions!$D$6+5</f>
        <v>2030</v>
      </c>
      <c r="J4" s="22">
        <f>Assumptions!$D$6+6</f>
        <v>2031</v>
      </c>
      <c r="K4" s="22">
        <f>Assumptions!$D$6+7</f>
        <v>2032</v>
      </c>
      <c r="L4" s="22">
        <f>Assumptions!$D$6+8</f>
        <v>2033</v>
      </c>
      <c r="M4" s="22">
        <f>Assumptions!$D$6+9</f>
        <v>2034</v>
      </c>
      <c r="N4" s="22">
        <f>Assumptions!$D$6+10</f>
        <v>2035</v>
      </c>
    </row>
    <row r="5" spans="2:14" ht="15" customHeight="1" x14ac:dyDescent="0.55000000000000004">
      <c r="B5" s="10" t="s">
        <v>228</v>
      </c>
      <c r="D5" s="25">
        <f>OpEx_CapEx!D18</f>
        <v>0</v>
      </c>
      <c r="E5" s="25">
        <f>OpEx_CapEx!E18</f>
        <v>12412050</v>
      </c>
      <c r="F5" s="25">
        <f>OpEx_CapEx!F18</f>
        <v>12382125</v>
      </c>
      <c r="G5" s="25">
        <f>OpEx_CapEx!G18</f>
        <v>12756125.512499999</v>
      </c>
      <c r="H5" s="25">
        <f>OpEx_CapEx!H18</f>
        <v>12723697.777874999</v>
      </c>
      <c r="I5" s="25">
        <f>OpEx_CapEx!I18</f>
        <v>13105842.727873087</v>
      </c>
      <c r="J5" s="25">
        <f>OpEx_CapEx!J18</f>
        <v>13070696.75970928</v>
      </c>
      <c r="K5" s="25">
        <f>OpEx_CapEx!K18</f>
        <v>13460953.952010898</v>
      </c>
      <c r="L5" s="25">
        <f>OpEx_CapEx!L18</f>
        <v>13422855.278071225</v>
      </c>
      <c r="M5" s="25">
        <f>OpEx_CapEx!M18</f>
        <v>13821166.437426629</v>
      </c>
      <c r="N5" s="25">
        <f>OpEx_CapEx!N18</f>
        <v>13779859.914274428</v>
      </c>
    </row>
    <row r="6" spans="2:14" ht="15" customHeight="1" x14ac:dyDescent="0.55000000000000004">
      <c r="B6" s="10" t="s">
        <v>229</v>
      </c>
      <c r="D6" s="25">
        <f>Debt!D10</f>
        <v>0</v>
      </c>
      <c r="E6" s="25">
        <f>Debt!E10</f>
        <v>-7542500.0000000019</v>
      </c>
      <c r="F6" s="25">
        <f>Debt!F10</f>
        <v>-7542500.0000000019</v>
      </c>
      <c r="G6" s="25">
        <f>Debt!G10</f>
        <v>-7542500.0000000019</v>
      </c>
      <c r="H6" s="25">
        <f>Debt!H10</f>
        <v>-7542500.0000000019</v>
      </c>
      <c r="I6" s="25">
        <f>Debt!I10</f>
        <v>-7542500.0000000019</v>
      </c>
      <c r="J6" s="25">
        <f>Debt!J10</f>
        <v>-7542500.0000000019</v>
      </c>
      <c r="K6" s="25">
        <f>Debt!K10</f>
        <v>-7542500.0000000019</v>
      </c>
      <c r="L6" s="25">
        <f>Debt!L10</f>
        <v>-7542500.0000000019</v>
      </c>
      <c r="M6" s="25">
        <f>Debt!M10</f>
        <v>-7542500.0000000019</v>
      </c>
      <c r="N6" s="25">
        <f>Debt!N10</f>
        <v>-7542500.0000000019</v>
      </c>
    </row>
    <row r="7" spans="2:14" ht="15" customHeight="1" x14ac:dyDescent="0.55000000000000004">
      <c r="B7" s="10" t="s">
        <v>230</v>
      </c>
      <c r="D7" s="25">
        <f>OpEx_CapEx!D23</f>
        <v>0</v>
      </c>
      <c r="E7" s="25">
        <f>OpEx_CapEx!E23</f>
        <v>-213750</v>
      </c>
      <c r="F7" s="25">
        <f>OpEx_CapEx!F23</f>
        <v>-213750</v>
      </c>
      <c r="G7" s="25">
        <f>OpEx_CapEx!G23</f>
        <v>-220162.5</v>
      </c>
      <c r="H7" s="25">
        <f>OpEx_CapEx!H23</f>
        <v>-220162.5</v>
      </c>
      <c r="I7" s="25">
        <f>OpEx_CapEx!I23</f>
        <v>-3226767.375</v>
      </c>
      <c r="J7" s="25">
        <f>OpEx_CapEx!J23</f>
        <v>-226767.375</v>
      </c>
      <c r="K7" s="25">
        <f>OpEx_CapEx!K23</f>
        <v>-233570.39624999999</v>
      </c>
      <c r="L7" s="25">
        <f>OpEx_CapEx!L23</f>
        <v>-233570.39624999999</v>
      </c>
      <c r="M7" s="25">
        <f>OpEx_CapEx!M23</f>
        <v>-240577.50813750003</v>
      </c>
      <c r="N7" s="25">
        <f>OpEx_CapEx!N23</f>
        <v>-240577.50813750003</v>
      </c>
    </row>
    <row r="8" spans="2:14" ht="15" customHeight="1" x14ac:dyDescent="0.55000000000000004">
      <c r="B8" s="31" t="s">
        <v>231</v>
      </c>
      <c r="D8" s="32">
        <f t="shared" ref="D8:N8" si="0">D5+D6+D7</f>
        <v>0</v>
      </c>
      <c r="E8" s="32">
        <f t="shared" si="0"/>
        <v>4655799.9999999981</v>
      </c>
      <c r="F8" s="32">
        <f t="shared" si="0"/>
        <v>4625874.9999999981</v>
      </c>
      <c r="G8" s="32">
        <f t="shared" si="0"/>
        <v>4993463.0124999974</v>
      </c>
      <c r="H8" s="32">
        <f t="shared" si="0"/>
        <v>4961035.2778749969</v>
      </c>
      <c r="I8" s="32">
        <f t="shared" si="0"/>
        <v>2336575.3528730851</v>
      </c>
      <c r="J8" s="32">
        <f t="shared" si="0"/>
        <v>5301429.3847092781</v>
      </c>
      <c r="K8" s="32">
        <f t="shared" si="0"/>
        <v>5684883.5557608958</v>
      </c>
      <c r="L8" s="32">
        <f t="shared" si="0"/>
        <v>5646784.8818212226</v>
      </c>
      <c r="M8" s="32">
        <f t="shared" si="0"/>
        <v>6038088.9292891268</v>
      </c>
      <c r="N8" s="32">
        <f t="shared" si="0"/>
        <v>5996782.4061369263</v>
      </c>
    </row>
    <row r="9" spans="2:14" ht="15" customHeight="1" x14ac:dyDescent="0.55000000000000004">
      <c r="B9" s="10" t="s">
        <v>232</v>
      </c>
      <c r="D9" s="25">
        <f>-Assumptions!$D$48*Assumptions!$D$57*Timeline!D5</f>
        <v>0</v>
      </c>
      <c r="E9" s="25">
        <f>-Assumptions!$D$48*Assumptions!$D$57*Timeline!E5</f>
        <v>-2693750.0000000005</v>
      </c>
      <c r="F9" s="25">
        <f>-Assumptions!$D$48*Assumptions!$D$57*Timeline!F5</f>
        <v>-2693750.0000000005</v>
      </c>
      <c r="G9" s="25">
        <f>-Assumptions!$D$48*Assumptions!$D$57*Timeline!G5</f>
        <v>-2693750.0000000005</v>
      </c>
      <c r="H9" s="25">
        <f>-Assumptions!$D$48*Assumptions!$D$57*Timeline!H5</f>
        <v>-2693750.0000000005</v>
      </c>
      <c r="I9" s="25">
        <f>-Assumptions!$D$48*Assumptions!$D$57*Timeline!I5</f>
        <v>-2693750.0000000005</v>
      </c>
      <c r="J9" s="25">
        <f>-Assumptions!$D$48*Assumptions!$D$57*Timeline!J5</f>
        <v>-2693750.0000000005</v>
      </c>
      <c r="K9" s="25">
        <f>-Assumptions!$D$48*Assumptions!$D$57*Timeline!K5</f>
        <v>-2693750.0000000005</v>
      </c>
      <c r="L9" s="25">
        <f>-Assumptions!$D$48*Assumptions!$D$57*Timeline!L5</f>
        <v>-2693750.0000000005</v>
      </c>
      <c r="M9" s="25">
        <f>-Assumptions!$D$48*Assumptions!$D$57*Timeline!M5</f>
        <v>-2693750.0000000005</v>
      </c>
      <c r="N9" s="25">
        <f>-Assumptions!$D$48*Assumptions!$D$57*Timeline!N5</f>
        <v>-2693750.0000000005</v>
      </c>
    </row>
    <row r="10" spans="2:14" ht="15" customHeight="1" x14ac:dyDescent="0.55000000000000004">
      <c r="B10" s="10" t="s">
        <v>233</v>
      </c>
      <c r="D10" s="25">
        <f>-MAX(D8,0)*Assumptions!$D$58*Timeline!D5</f>
        <v>0</v>
      </c>
      <c r="E10" s="25">
        <f>-MAX(E8,0)*Assumptions!$D$58*Timeline!E5</f>
        <v>0</v>
      </c>
      <c r="F10" s="25">
        <f>-MAX(F8,0)*Assumptions!$D$58*Timeline!F5</f>
        <v>0</v>
      </c>
      <c r="G10" s="25">
        <f>-MAX(G8,0)*Assumptions!$D$58*Timeline!G5</f>
        <v>0</v>
      </c>
      <c r="H10" s="25">
        <f>-MAX(H8,0)*Assumptions!$D$58*Timeline!H5</f>
        <v>0</v>
      </c>
      <c r="I10" s="25">
        <f>-MAX(I8,0)*Assumptions!$D$58*Timeline!I5</f>
        <v>0</v>
      </c>
      <c r="J10" s="25">
        <f>-MAX(J8,0)*Assumptions!$D$58*Timeline!J5</f>
        <v>0</v>
      </c>
      <c r="K10" s="25">
        <f>-MAX(K8,0)*Assumptions!$D$58*Timeline!K5</f>
        <v>0</v>
      </c>
      <c r="L10" s="25">
        <f>-MAX(L8,0)*Assumptions!$D$58*Timeline!L5</f>
        <v>0</v>
      </c>
      <c r="M10" s="25">
        <f>-MAX(M8,0)*Assumptions!$D$58*Timeline!M5</f>
        <v>0</v>
      </c>
      <c r="N10" s="25">
        <f>-MAX(N8,0)*Assumptions!$D$58*Timeline!N5</f>
        <v>0</v>
      </c>
    </row>
    <row r="11" spans="2:14" ht="15" customHeight="1" x14ac:dyDescent="0.55000000000000004">
      <c r="B11" s="10" t="s">
        <v>234</v>
      </c>
      <c r="D11" s="25">
        <f>-MAX(D8+D9+D10,0)*Assumptions!$D$59*Timeline!D5</f>
        <v>0</v>
      </c>
      <c r="E11" s="25">
        <f>-MAX(E8+E9+E10,0)*Assumptions!$D$59*Timeline!E5</f>
        <v>-98102.499999999884</v>
      </c>
      <c r="F11" s="25">
        <f>-MAX(F8+F9+F10,0)*Assumptions!$D$59*Timeline!F5</f>
        <v>-96606.249999999884</v>
      </c>
      <c r="G11" s="25">
        <f>-MAX(G8+G9+G10,0)*Assumptions!$D$59*Timeline!G5</f>
        <v>-114985.65062499985</v>
      </c>
      <c r="H11" s="25">
        <f>-MAX(H8+H9+H10,0)*Assumptions!$D$59*Timeline!H5</f>
        <v>-113364.26389374983</v>
      </c>
      <c r="I11" s="25">
        <f>-MAX(I8+I9+I10,0)*Assumptions!$D$59*Timeline!I5</f>
        <v>0</v>
      </c>
      <c r="J11" s="25">
        <f>-MAX(J8+J9+J10,0)*Assumptions!$D$59*Timeline!J5</f>
        <v>-130383.96923546388</v>
      </c>
      <c r="K11" s="25">
        <f>-MAX(K8+K9+K10,0)*Assumptions!$D$59*Timeline!K5</f>
        <v>-149556.67778804476</v>
      </c>
      <c r="L11" s="25">
        <f>-MAX(L8+L9+L10,0)*Assumptions!$D$59*Timeline!L5</f>
        <v>-147651.74409106112</v>
      </c>
      <c r="M11" s="25">
        <f>-MAX(M8+M9+M10,0)*Assumptions!$D$59*Timeline!M5</f>
        <v>-167216.94646445633</v>
      </c>
      <c r="N11" s="25">
        <f>-MAX(N8+N9+N10,0)*Assumptions!$D$59*Timeline!N5</f>
        <v>-165151.62030684631</v>
      </c>
    </row>
    <row r="12" spans="2:14" ht="15" customHeight="1" x14ac:dyDescent="0.55000000000000004">
      <c r="B12" s="26" t="s">
        <v>235</v>
      </c>
      <c r="D12" s="27">
        <f t="shared" ref="D12:N12" si="1">D9+D10+D11</f>
        <v>0</v>
      </c>
      <c r="E12" s="27">
        <f t="shared" si="1"/>
        <v>-2791852.5000000005</v>
      </c>
      <c r="F12" s="27">
        <f t="shared" si="1"/>
        <v>-2790356.2500000005</v>
      </c>
      <c r="G12" s="27">
        <f t="shared" si="1"/>
        <v>-2808735.6506250002</v>
      </c>
      <c r="H12" s="27">
        <f t="shared" si="1"/>
        <v>-2807114.2638937505</v>
      </c>
      <c r="I12" s="27">
        <f t="shared" si="1"/>
        <v>-2693750.0000000005</v>
      </c>
      <c r="J12" s="27">
        <f t="shared" si="1"/>
        <v>-2824133.9692354645</v>
      </c>
      <c r="K12" s="27">
        <f t="shared" si="1"/>
        <v>-2843306.6777880453</v>
      </c>
      <c r="L12" s="27">
        <f t="shared" si="1"/>
        <v>-2841401.7440910614</v>
      </c>
      <c r="M12" s="27">
        <f t="shared" si="1"/>
        <v>-2860966.9464644566</v>
      </c>
      <c r="N12" s="27">
        <f t="shared" si="1"/>
        <v>-2858901.6203068467</v>
      </c>
    </row>
    <row r="13" spans="2:14" ht="15" customHeight="1" x14ac:dyDescent="0.55000000000000004">
      <c r="B13" s="10" t="s">
        <v>236</v>
      </c>
      <c r="D13" s="25">
        <f>-DCF!D9*Assumptions!$D$60</f>
        <v>0</v>
      </c>
      <c r="E13" s="25">
        <f>-DCF!E9*Assumptions!$D$60</f>
        <v>0</v>
      </c>
      <c r="F13" s="25">
        <f>-DCF!F9*Assumptions!$D$60</f>
        <v>0</v>
      </c>
      <c r="G13" s="25">
        <f>-DCF!G9*Assumptions!$D$60</f>
        <v>0</v>
      </c>
      <c r="H13" s="25">
        <f>-DCF!H9*Assumptions!$D$60</f>
        <v>0</v>
      </c>
      <c r="I13" s="25">
        <f>-DCF!I9*Assumptions!$D$60</f>
        <v>0</v>
      </c>
      <c r="J13" s="25">
        <f>-DCF!J9*Assumptions!$D$60</f>
        <v>0</v>
      </c>
      <c r="K13" s="25">
        <f>-DCF!K9*Assumptions!$D$60</f>
        <v>0</v>
      </c>
      <c r="L13" s="25">
        <f>-DCF!L9*Assumptions!$D$60</f>
        <v>0</v>
      </c>
      <c r="M13" s="25">
        <f>-DCF!M9*Assumptions!$D$60</f>
        <v>0</v>
      </c>
      <c r="N13" s="25">
        <f>-DCF!N9*Assumptions!$D$60</f>
        <v>0</v>
      </c>
    </row>
  </sheetData>
  <mergeCells count="1">
    <mergeCell ref="B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26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40" customWidth="1"/>
    <col min="3" max="3" width="2" customWidth="1"/>
    <col min="4" max="14" width="13" customWidth="1"/>
  </cols>
  <sheetData>
    <row r="2" spans="2:14" ht="27.75" customHeight="1" x14ac:dyDescent="0.55000000000000004">
      <c r="B2" s="3" t="s">
        <v>237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5" customHeight="1" x14ac:dyDescent="0.55000000000000004">
      <c r="B3" s="9" t="s">
        <v>183</v>
      </c>
      <c r="D3" s="22">
        <v>0</v>
      </c>
      <c r="E3" s="22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</row>
    <row r="4" spans="2:14" ht="15" customHeight="1" x14ac:dyDescent="0.55000000000000004">
      <c r="B4" s="9" t="s">
        <v>184</v>
      </c>
      <c r="D4" s="22">
        <f>Assumptions!$D$6+0</f>
        <v>2025</v>
      </c>
      <c r="E4" s="22">
        <f>Assumptions!$D$6+1</f>
        <v>2026</v>
      </c>
      <c r="F4" s="22">
        <f>Assumptions!$D$6+2</f>
        <v>2027</v>
      </c>
      <c r="G4" s="22">
        <f>Assumptions!$D$6+3</f>
        <v>2028</v>
      </c>
      <c r="H4" s="22">
        <f>Assumptions!$D$6+4</f>
        <v>2029</v>
      </c>
      <c r="I4" s="22">
        <f>Assumptions!$D$6+5</f>
        <v>2030</v>
      </c>
      <c r="J4" s="22">
        <f>Assumptions!$D$6+6</f>
        <v>2031</v>
      </c>
      <c r="K4" s="22">
        <f>Assumptions!$D$6+7</f>
        <v>2032</v>
      </c>
      <c r="L4" s="22">
        <f>Assumptions!$D$6+8</f>
        <v>2033</v>
      </c>
      <c r="M4" s="22">
        <f>Assumptions!$D$6+9</f>
        <v>2034</v>
      </c>
      <c r="N4" s="22">
        <f>Assumptions!$D$6+10</f>
        <v>2035</v>
      </c>
    </row>
    <row r="5" spans="2:14" ht="15" customHeight="1" x14ac:dyDescent="0.55000000000000004">
      <c r="B5" s="2" t="s">
        <v>238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ht="15" customHeight="1" x14ac:dyDescent="0.55000000000000004">
      <c r="B6" s="10" t="s">
        <v>239</v>
      </c>
      <c r="D6" s="25">
        <f>Revenue!D7</f>
        <v>0</v>
      </c>
      <c r="E6" s="25">
        <f>Revenue!E7</f>
        <v>14250000</v>
      </c>
      <c r="F6" s="25">
        <f>Revenue!F7</f>
        <v>14250000</v>
      </c>
      <c r="G6" s="25">
        <f>Revenue!G7</f>
        <v>14677500</v>
      </c>
      <c r="H6" s="25">
        <f>Revenue!H7</f>
        <v>14677500</v>
      </c>
      <c r="I6" s="25">
        <f>Revenue!I7</f>
        <v>15117825</v>
      </c>
      <c r="J6" s="25">
        <f>Revenue!J7</f>
        <v>15117825</v>
      </c>
      <c r="K6" s="25">
        <f>Revenue!K7</f>
        <v>15571359.75</v>
      </c>
      <c r="L6" s="25">
        <f>Revenue!L7</f>
        <v>15571359.75</v>
      </c>
      <c r="M6" s="25">
        <f>Revenue!M7</f>
        <v>16038500.542500002</v>
      </c>
      <c r="N6" s="25">
        <f>Revenue!N7</f>
        <v>16038500.542500002</v>
      </c>
    </row>
    <row r="7" spans="2:14" ht="15" customHeight="1" x14ac:dyDescent="0.55000000000000004">
      <c r="B7" s="10" t="s">
        <v>240</v>
      </c>
      <c r="D7" s="25">
        <f>OpEx_CapEx!D8</f>
        <v>0</v>
      </c>
      <c r="E7" s="25">
        <f>OpEx_CapEx!E8</f>
        <v>-712500</v>
      </c>
      <c r="F7" s="25">
        <f>OpEx_CapEx!F8</f>
        <v>-733875</v>
      </c>
      <c r="G7" s="25">
        <f>OpEx_CapEx!G8</f>
        <v>-778567.98749999993</v>
      </c>
      <c r="H7" s="25">
        <f>OpEx_CapEx!H8</f>
        <v>-801925.02712500002</v>
      </c>
      <c r="I7" s="25">
        <f>OpEx_CapEx!I8</f>
        <v>-850762.26127691264</v>
      </c>
      <c r="J7" s="25">
        <f>OpEx_CapEx!J8</f>
        <v>-876285.12911521993</v>
      </c>
      <c r="K7" s="25">
        <f>OpEx_CapEx!K8</f>
        <v>-929650.89347833698</v>
      </c>
      <c r="L7" s="25">
        <f>OpEx_CapEx!L8</f>
        <v>-957540.42028268706</v>
      </c>
      <c r="M7" s="25">
        <f>OpEx_CapEx!M8</f>
        <v>-1015854.6318779029</v>
      </c>
      <c r="N7" s="25">
        <f>OpEx_CapEx!N8</f>
        <v>-1046330.27083424</v>
      </c>
    </row>
    <row r="8" spans="2:14" ht="15" customHeight="1" x14ac:dyDescent="0.55000000000000004">
      <c r="B8" s="10" t="s">
        <v>241</v>
      </c>
      <c r="D8" s="25">
        <f>OpEx_CapEx!D9</f>
        <v>0</v>
      </c>
      <c r="E8" s="25">
        <f>OpEx_CapEx!E9</f>
        <v>13537500</v>
      </c>
      <c r="F8" s="25">
        <f>OpEx_CapEx!F9</f>
        <v>13516125</v>
      </c>
      <c r="G8" s="25">
        <f>OpEx_CapEx!G9</f>
        <v>13898932.012499999</v>
      </c>
      <c r="H8" s="25">
        <f>OpEx_CapEx!H9</f>
        <v>13875574.972874999</v>
      </c>
      <c r="I8" s="25">
        <f>OpEx_CapEx!I9</f>
        <v>14267062.738723088</v>
      </c>
      <c r="J8" s="25">
        <f>OpEx_CapEx!J9</f>
        <v>14241539.87088478</v>
      </c>
      <c r="K8" s="25">
        <f>OpEx_CapEx!K9</f>
        <v>14641708.856521662</v>
      </c>
      <c r="L8" s="25">
        <f>OpEx_CapEx!L9</f>
        <v>14613819.329717312</v>
      </c>
      <c r="M8" s="25">
        <f>OpEx_CapEx!M9</f>
        <v>15022645.910622099</v>
      </c>
      <c r="N8" s="25">
        <f>OpEx_CapEx!N9</f>
        <v>14992170.271665763</v>
      </c>
    </row>
    <row r="9" spans="2:14" ht="15" customHeight="1" x14ac:dyDescent="0.55000000000000004">
      <c r="B9" s="10" t="s">
        <v>242</v>
      </c>
      <c r="D9" s="25">
        <f>OpEx_CapEx!D17</f>
        <v>0</v>
      </c>
      <c r="E9" s="25">
        <f>OpEx_CapEx!E17</f>
        <v>-1125450</v>
      </c>
      <c r="F9" s="25">
        <f>OpEx_CapEx!F17</f>
        <v>-1134000</v>
      </c>
      <c r="G9" s="25">
        <f>OpEx_CapEx!G17</f>
        <v>-1142806.5</v>
      </c>
      <c r="H9" s="25">
        <f>OpEx_CapEx!H17</f>
        <v>-1151877.1950000001</v>
      </c>
      <c r="I9" s="25">
        <f>OpEx_CapEx!I17</f>
        <v>-1161220.0108500002</v>
      </c>
      <c r="J9" s="25">
        <f>OpEx_CapEx!J17</f>
        <v>-1170843.1111755001</v>
      </c>
      <c r="K9" s="25">
        <f>OpEx_CapEx!K17</f>
        <v>-1180754.9045107651</v>
      </c>
      <c r="L9" s="25">
        <f>OpEx_CapEx!L17</f>
        <v>-1190964.0516460882</v>
      </c>
      <c r="M9" s="25">
        <f>OpEx_CapEx!M17</f>
        <v>-1201479.4731954709</v>
      </c>
      <c r="N9" s="25">
        <f>OpEx_CapEx!N17</f>
        <v>-1212310.3573913348</v>
      </c>
    </row>
    <row r="10" spans="2:14" ht="15" customHeight="1" x14ac:dyDescent="0.55000000000000004">
      <c r="B10" s="10" t="s">
        <v>243</v>
      </c>
      <c r="D10" s="25">
        <f>OpEx_CapEx!D18</f>
        <v>0</v>
      </c>
      <c r="E10" s="25">
        <f>OpEx_CapEx!E18</f>
        <v>12412050</v>
      </c>
      <c r="F10" s="25">
        <f>OpEx_CapEx!F18</f>
        <v>12382125</v>
      </c>
      <c r="G10" s="25">
        <f>OpEx_CapEx!G18</f>
        <v>12756125.512499999</v>
      </c>
      <c r="H10" s="25">
        <f>OpEx_CapEx!H18</f>
        <v>12723697.777874999</v>
      </c>
      <c r="I10" s="25">
        <f>OpEx_CapEx!I18</f>
        <v>13105842.727873087</v>
      </c>
      <c r="J10" s="25">
        <f>OpEx_CapEx!J18</f>
        <v>13070696.75970928</v>
      </c>
      <c r="K10" s="25">
        <f>OpEx_CapEx!K18</f>
        <v>13460953.952010898</v>
      </c>
      <c r="L10" s="25">
        <f>OpEx_CapEx!L18</f>
        <v>13422855.278071225</v>
      </c>
      <c r="M10" s="25">
        <f>OpEx_CapEx!M18</f>
        <v>13821166.437426629</v>
      </c>
      <c r="N10" s="25">
        <f>OpEx_CapEx!N18</f>
        <v>13779859.914274428</v>
      </c>
    </row>
    <row r="11" spans="2:14" ht="15" customHeight="1" x14ac:dyDescent="0.55000000000000004">
      <c r="B11" s="10" t="s">
        <v>244</v>
      </c>
      <c r="D11" s="25">
        <f>OpEx_CapEx!D23</f>
        <v>0</v>
      </c>
      <c r="E11" s="25">
        <f>OpEx_CapEx!E23</f>
        <v>-213750</v>
      </c>
      <c r="F11" s="25">
        <f>OpEx_CapEx!F23</f>
        <v>-213750</v>
      </c>
      <c r="G11" s="25">
        <f>OpEx_CapEx!G23</f>
        <v>-220162.5</v>
      </c>
      <c r="H11" s="25">
        <f>OpEx_CapEx!H23</f>
        <v>-220162.5</v>
      </c>
      <c r="I11" s="25">
        <f>OpEx_CapEx!I23</f>
        <v>-3226767.375</v>
      </c>
      <c r="J11" s="25">
        <f>OpEx_CapEx!J23</f>
        <v>-226767.375</v>
      </c>
      <c r="K11" s="25">
        <f>OpEx_CapEx!K23</f>
        <v>-233570.39624999999</v>
      </c>
      <c r="L11" s="25">
        <f>OpEx_CapEx!L23</f>
        <v>-233570.39624999999</v>
      </c>
      <c r="M11" s="25">
        <f>OpEx_CapEx!M23</f>
        <v>-240577.50813750003</v>
      </c>
      <c r="N11" s="25">
        <f>OpEx_CapEx!N23</f>
        <v>-240577.50813750003</v>
      </c>
    </row>
    <row r="12" spans="2:14" ht="15" customHeight="1" x14ac:dyDescent="0.55000000000000004">
      <c r="B12" s="10" t="s">
        <v>245</v>
      </c>
      <c r="D12" s="25">
        <f>-Assumptions!$D$16</f>
        <v>-215500000.00000003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</row>
    <row r="13" spans="2:14" ht="15" customHeight="1" x14ac:dyDescent="0.55000000000000004">
      <c r="B13" s="10" t="s">
        <v>246</v>
      </c>
      <c r="D13" s="25">
        <f>IF(0=Assumptions!$D$7,DCF!D10,0)</f>
        <v>0</v>
      </c>
      <c r="E13" s="25">
        <f>IF(1=Assumptions!$D$7,DCF!E10,0)</f>
        <v>0</v>
      </c>
      <c r="F13" s="25">
        <f>IF(2=Assumptions!$D$7,DCF!F10,0)</f>
        <v>0</v>
      </c>
      <c r="G13" s="25">
        <f>IF(3=Assumptions!$D$7,DCF!G10,0)</f>
        <v>0</v>
      </c>
      <c r="H13" s="25">
        <f>IF(4=Assumptions!$D$7,DCF!H10,0)</f>
        <v>0</v>
      </c>
      <c r="I13" s="25">
        <f>IF(5=Assumptions!$D$7,DCF!I10,0)</f>
        <v>0</v>
      </c>
      <c r="J13" s="25">
        <f>IF(6=Assumptions!$D$7,DCF!J10,0)</f>
        <v>0</v>
      </c>
      <c r="K13" s="25">
        <f>IF(7=Assumptions!$D$7,DCF!K10,0)</f>
        <v>0</v>
      </c>
      <c r="L13" s="25">
        <f>IF(8=Assumptions!$D$7,DCF!L10,0)</f>
        <v>0</v>
      </c>
      <c r="M13" s="25">
        <f>IF(9=Assumptions!$D$7,DCF!M10,0)</f>
        <v>0</v>
      </c>
      <c r="N13" s="25">
        <f>IF(10=Assumptions!$D$7,DCF!N10,0)</f>
        <v>196807216.54624701</v>
      </c>
    </row>
    <row r="14" spans="2:14" ht="15" customHeight="1" x14ac:dyDescent="0.55000000000000004">
      <c r="B14" s="10" t="s">
        <v>247</v>
      </c>
      <c r="D14" s="25">
        <f>Tax!D13</f>
        <v>0</v>
      </c>
      <c r="E14" s="25">
        <f>Tax!E13</f>
        <v>0</v>
      </c>
      <c r="F14" s="25">
        <f>Tax!F13</f>
        <v>0</v>
      </c>
      <c r="G14" s="25">
        <f>Tax!G13</f>
        <v>0</v>
      </c>
      <c r="H14" s="25">
        <f>Tax!H13</f>
        <v>0</v>
      </c>
      <c r="I14" s="25">
        <f>Tax!I13</f>
        <v>0</v>
      </c>
      <c r="J14" s="25">
        <f>Tax!J13</f>
        <v>0</v>
      </c>
      <c r="K14" s="25">
        <f>Tax!K13</f>
        <v>0</v>
      </c>
      <c r="L14" s="25">
        <f>Tax!L13</f>
        <v>0</v>
      </c>
      <c r="M14" s="25">
        <f>Tax!M13</f>
        <v>0</v>
      </c>
      <c r="N14" s="25">
        <f>Tax!N13</f>
        <v>0</v>
      </c>
    </row>
    <row r="15" spans="2:14" ht="15" customHeight="1" x14ac:dyDescent="0.55000000000000004">
      <c r="B15" s="26" t="s">
        <v>248</v>
      </c>
      <c r="D15" s="27">
        <f t="shared" ref="D15:N15" si="0">D10+D11+D12+D13+D14</f>
        <v>-215500000.00000003</v>
      </c>
      <c r="E15" s="27">
        <f t="shared" si="0"/>
        <v>12198300</v>
      </c>
      <c r="F15" s="27">
        <f t="shared" si="0"/>
        <v>12168375</v>
      </c>
      <c r="G15" s="27">
        <f t="shared" si="0"/>
        <v>12535963.012499999</v>
      </c>
      <c r="H15" s="27">
        <f t="shared" si="0"/>
        <v>12503535.277874999</v>
      </c>
      <c r="I15" s="27">
        <f t="shared" si="0"/>
        <v>9879075.3528730869</v>
      </c>
      <c r="J15" s="27">
        <f t="shared" si="0"/>
        <v>12843929.38470928</v>
      </c>
      <c r="K15" s="27">
        <f t="shared" si="0"/>
        <v>13227383.555760898</v>
      </c>
      <c r="L15" s="27">
        <f t="shared" si="0"/>
        <v>13189284.881821224</v>
      </c>
      <c r="M15" s="27">
        <f t="shared" si="0"/>
        <v>13580588.929289129</v>
      </c>
      <c r="N15" s="27">
        <f t="shared" si="0"/>
        <v>210346498.95238394</v>
      </c>
    </row>
    <row r="17" spans="2:14" ht="15" customHeight="1" x14ac:dyDescent="0.55000000000000004">
      <c r="B17" s="2" t="s">
        <v>249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15" customHeight="1" x14ac:dyDescent="0.55000000000000004">
      <c r="B18" s="10" t="s">
        <v>250</v>
      </c>
      <c r="D18" s="25">
        <f t="shared" ref="D18:N18" si="1">D15</f>
        <v>-215500000.00000003</v>
      </c>
      <c r="E18" s="25">
        <f t="shared" si="1"/>
        <v>12198300</v>
      </c>
      <c r="F18" s="25">
        <f t="shared" si="1"/>
        <v>12168375</v>
      </c>
      <c r="G18" s="25">
        <f t="shared" si="1"/>
        <v>12535963.012499999</v>
      </c>
      <c r="H18" s="25">
        <f t="shared" si="1"/>
        <v>12503535.277874999</v>
      </c>
      <c r="I18" s="25">
        <f t="shared" si="1"/>
        <v>9879075.3528730869</v>
      </c>
      <c r="J18" s="25">
        <f t="shared" si="1"/>
        <v>12843929.38470928</v>
      </c>
      <c r="K18" s="25">
        <f t="shared" si="1"/>
        <v>13227383.555760898</v>
      </c>
      <c r="L18" s="25">
        <f t="shared" si="1"/>
        <v>13189284.881821224</v>
      </c>
      <c r="M18" s="25">
        <f t="shared" si="1"/>
        <v>13580588.929289129</v>
      </c>
      <c r="N18" s="25">
        <f t="shared" si="1"/>
        <v>210346498.95238394</v>
      </c>
    </row>
    <row r="19" spans="2:14" ht="15" customHeight="1" x14ac:dyDescent="0.55000000000000004">
      <c r="B19" s="10" t="s">
        <v>251</v>
      </c>
      <c r="D19" s="25">
        <f>Debt!D6</f>
        <v>107750000.00000001</v>
      </c>
      <c r="E19" s="25">
        <f>Debt!E6</f>
        <v>0</v>
      </c>
      <c r="F19" s="25">
        <f>Debt!F6</f>
        <v>0</v>
      </c>
      <c r="G19" s="25">
        <f>Debt!G6</f>
        <v>0</v>
      </c>
      <c r="H19" s="25">
        <f>Debt!H6</f>
        <v>0</v>
      </c>
      <c r="I19" s="25">
        <f>Debt!I6</f>
        <v>0</v>
      </c>
      <c r="J19" s="25">
        <f>Debt!J6</f>
        <v>0</v>
      </c>
      <c r="K19" s="25">
        <f>Debt!K6</f>
        <v>0</v>
      </c>
      <c r="L19" s="25">
        <f>Debt!L6</f>
        <v>0</v>
      </c>
      <c r="M19" s="25">
        <f>Debt!M6</f>
        <v>0</v>
      </c>
      <c r="N19" s="25">
        <f>Debt!N6</f>
        <v>0</v>
      </c>
    </row>
    <row r="20" spans="2:14" ht="15" customHeight="1" x14ac:dyDescent="0.55000000000000004">
      <c r="B20" s="10" t="s">
        <v>252</v>
      </c>
      <c r="D20" s="25">
        <f>Debt!D11</f>
        <v>-269375.00000000006</v>
      </c>
      <c r="E20" s="25">
        <f>Debt!E11</f>
        <v>0</v>
      </c>
      <c r="F20" s="25">
        <f>Debt!F11</f>
        <v>0</v>
      </c>
      <c r="G20" s="25">
        <f>Debt!G11</f>
        <v>0</v>
      </c>
      <c r="H20" s="25">
        <f>Debt!H11</f>
        <v>0</v>
      </c>
      <c r="I20" s="25">
        <f>Debt!I11</f>
        <v>0</v>
      </c>
      <c r="J20" s="25">
        <f>Debt!J11</f>
        <v>0</v>
      </c>
      <c r="K20" s="25">
        <f>Debt!K11</f>
        <v>0</v>
      </c>
      <c r="L20" s="25">
        <f>Debt!L11</f>
        <v>0</v>
      </c>
      <c r="M20" s="25">
        <f>Debt!M11</f>
        <v>0</v>
      </c>
      <c r="N20" s="25">
        <f>Debt!N11</f>
        <v>0</v>
      </c>
    </row>
    <row r="21" spans="2:14" ht="15" customHeight="1" x14ac:dyDescent="0.55000000000000004">
      <c r="B21" s="10" t="s">
        <v>253</v>
      </c>
      <c r="D21" s="25">
        <f>Debt!D10</f>
        <v>0</v>
      </c>
      <c r="E21" s="25">
        <f>Debt!E10</f>
        <v>-7542500.0000000019</v>
      </c>
      <c r="F21" s="25">
        <f>Debt!F10</f>
        <v>-7542500.0000000019</v>
      </c>
      <c r="G21" s="25">
        <f>Debt!G10</f>
        <v>-7542500.0000000019</v>
      </c>
      <c r="H21" s="25">
        <f>Debt!H10</f>
        <v>-7542500.0000000019</v>
      </c>
      <c r="I21" s="25">
        <f>Debt!I10</f>
        <v>-7542500.0000000019</v>
      </c>
      <c r="J21" s="25">
        <f>Debt!J10</f>
        <v>-7542500.0000000019</v>
      </c>
      <c r="K21" s="25">
        <f>Debt!K10</f>
        <v>-7542500.0000000019</v>
      </c>
      <c r="L21" s="25">
        <f>Debt!L10</f>
        <v>-7542500.0000000019</v>
      </c>
      <c r="M21" s="25">
        <f>Debt!M10</f>
        <v>-7542500.0000000019</v>
      </c>
      <c r="N21" s="25">
        <f>Debt!N10</f>
        <v>-7542500.0000000019</v>
      </c>
    </row>
    <row r="22" spans="2:14" ht="15" customHeight="1" x14ac:dyDescent="0.55000000000000004">
      <c r="B22" s="10" t="s">
        <v>254</v>
      </c>
      <c r="D22" s="25">
        <f>Debt!D7</f>
        <v>0</v>
      </c>
      <c r="E22" s="25">
        <f>Debt!E7</f>
        <v>0</v>
      </c>
      <c r="F22" s="25">
        <f>Debt!F7</f>
        <v>0</v>
      </c>
      <c r="G22" s="25">
        <f>Debt!G7</f>
        <v>0</v>
      </c>
      <c r="H22" s="25">
        <f>Debt!H7</f>
        <v>0</v>
      </c>
      <c r="I22" s="25">
        <f>Debt!I7</f>
        <v>0</v>
      </c>
      <c r="J22" s="25">
        <f>Debt!J7</f>
        <v>0</v>
      </c>
      <c r="K22" s="25">
        <f>Debt!K7</f>
        <v>0</v>
      </c>
      <c r="L22" s="25">
        <f>Debt!L7</f>
        <v>0</v>
      </c>
      <c r="M22" s="25">
        <f>Debt!M7</f>
        <v>0</v>
      </c>
      <c r="N22" s="25">
        <f>Debt!N7</f>
        <v>0</v>
      </c>
    </row>
    <row r="23" spans="2:14" ht="15" customHeight="1" x14ac:dyDescent="0.55000000000000004">
      <c r="B23" s="10" t="s">
        <v>255</v>
      </c>
      <c r="D23" s="25">
        <f>Debt!D8</f>
        <v>0</v>
      </c>
      <c r="E23" s="25">
        <f>Debt!E8</f>
        <v>0</v>
      </c>
      <c r="F23" s="25">
        <f>Debt!F8</f>
        <v>0</v>
      </c>
      <c r="G23" s="25">
        <f>Debt!G8</f>
        <v>0</v>
      </c>
      <c r="H23" s="25">
        <f>Debt!H8</f>
        <v>0</v>
      </c>
      <c r="I23" s="25">
        <f>Debt!I8</f>
        <v>0</v>
      </c>
      <c r="J23" s="25">
        <f>Debt!J8</f>
        <v>0</v>
      </c>
      <c r="K23" s="25">
        <f>Debt!K8</f>
        <v>0</v>
      </c>
      <c r="L23" s="25">
        <f>Debt!L8</f>
        <v>0</v>
      </c>
      <c r="M23" s="25">
        <f>Debt!M8</f>
        <v>0</v>
      </c>
      <c r="N23" s="25">
        <f>Debt!N8</f>
        <v>-107750000.00000001</v>
      </c>
    </row>
    <row r="24" spans="2:14" ht="15" customHeight="1" x14ac:dyDescent="0.55000000000000004">
      <c r="B24" s="10" t="s">
        <v>256</v>
      </c>
      <c r="D24" s="25">
        <f>Tax!D12</f>
        <v>0</v>
      </c>
      <c r="E24" s="25">
        <f>Tax!E12</f>
        <v>-2791852.5000000005</v>
      </c>
      <c r="F24" s="25">
        <f>Tax!F12</f>
        <v>-2790356.2500000005</v>
      </c>
      <c r="G24" s="25">
        <f>Tax!G12</f>
        <v>-2808735.6506250002</v>
      </c>
      <c r="H24" s="25">
        <f>Tax!H12</f>
        <v>-2807114.2638937505</v>
      </c>
      <c r="I24" s="25">
        <f>Tax!I12</f>
        <v>-2693750.0000000005</v>
      </c>
      <c r="J24" s="25">
        <f>Tax!J12</f>
        <v>-2824133.9692354645</v>
      </c>
      <c r="K24" s="25">
        <f>Tax!K12</f>
        <v>-2843306.6777880453</v>
      </c>
      <c r="L24" s="25">
        <f>Tax!L12</f>
        <v>-2841401.7440910614</v>
      </c>
      <c r="M24" s="25">
        <f>Tax!M12</f>
        <v>-2860966.9464644566</v>
      </c>
      <c r="N24" s="25">
        <f>Tax!N12</f>
        <v>-2858901.6203068467</v>
      </c>
    </row>
    <row r="25" spans="2:14" ht="15" customHeight="1" x14ac:dyDescent="0.55000000000000004">
      <c r="B25" s="26" t="s">
        <v>257</v>
      </c>
      <c r="D25" s="27">
        <f t="shared" ref="D25:N25" si="2">D18+D19+D20+D21+D22+D23+D24</f>
        <v>-108019375.00000001</v>
      </c>
      <c r="E25" s="27">
        <f t="shared" si="2"/>
        <v>1863947.4999999977</v>
      </c>
      <c r="F25" s="27">
        <f t="shared" si="2"/>
        <v>1835518.7499999977</v>
      </c>
      <c r="G25" s="27">
        <f t="shared" si="2"/>
        <v>2184727.3618749972</v>
      </c>
      <c r="H25" s="27">
        <f t="shared" si="2"/>
        <v>2153921.0139812464</v>
      </c>
      <c r="I25" s="27">
        <f t="shared" si="2"/>
        <v>-357174.6471269154</v>
      </c>
      <c r="J25" s="27">
        <f t="shared" si="2"/>
        <v>2477295.4154738137</v>
      </c>
      <c r="K25" s="27">
        <f t="shared" si="2"/>
        <v>2841576.8779728506</v>
      </c>
      <c r="L25" s="27">
        <f t="shared" si="2"/>
        <v>2805383.1377301612</v>
      </c>
      <c r="M25" s="27">
        <f t="shared" si="2"/>
        <v>3177121.9828246702</v>
      </c>
      <c r="N25" s="27">
        <f t="shared" si="2"/>
        <v>92195097.332077071</v>
      </c>
    </row>
    <row r="26" spans="2:14" ht="15" customHeight="1" x14ac:dyDescent="0.55000000000000004">
      <c r="B26" s="10" t="s">
        <v>258</v>
      </c>
      <c r="D26" s="25">
        <f>D25</f>
        <v>-108019375.00000001</v>
      </c>
      <c r="E26" s="25">
        <f t="shared" ref="E26:N26" si="3">D26+E25</f>
        <v>-106155427.50000001</v>
      </c>
      <c r="F26" s="25">
        <f t="shared" si="3"/>
        <v>-104319908.75000001</v>
      </c>
      <c r="G26" s="25">
        <f t="shared" si="3"/>
        <v>-102135181.38812502</v>
      </c>
      <c r="H26" s="25">
        <f t="shared" si="3"/>
        <v>-99981260.374143764</v>
      </c>
      <c r="I26" s="25">
        <f t="shared" si="3"/>
        <v>-100338435.02127068</v>
      </c>
      <c r="J26" s="25">
        <f t="shared" si="3"/>
        <v>-97861139.605796859</v>
      </c>
      <c r="K26" s="25">
        <f t="shared" si="3"/>
        <v>-95019562.727824003</v>
      </c>
      <c r="L26" s="25">
        <f t="shared" si="3"/>
        <v>-92214179.590093836</v>
      </c>
      <c r="M26" s="25">
        <f t="shared" si="3"/>
        <v>-89037057.607269168</v>
      </c>
      <c r="N26" s="25">
        <f t="shared" si="3"/>
        <v>3158039.7248079032</v>
      </c>
    </row>
  </sheetData>
  <mergeCells count="3">
    <mergeCell ref="B2:N2"/>
    <mergeCell ref="B5:N5"/>
    <mergeCell ref="B17:N1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25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40" customWidth="1"/>
    <col min="3" max="3" width="2" customWidth="1"/>
    <col min="4" max="14" width="13" customWidth="1"/>
  </cols>
  <sheetData>
    <row r="2" spans="2:14" ht="27.75" customHeight="1" x14ac:dyDescent="0.55000000000000004">
      <c r="B2" s="3" t="s">
        <v>259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5" customHeight="1" x14ac:dyDescent="0.55000000000000004">
      <c r="B3" s="9" t="s">
        <v>183</v>
      </c>
      <c r="D3" s="22">
        <v>0</v>
      </c>
      <c r="E3" s="22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</row>
    <row r="4" spans="2:14" ht="15" customHeight="1" x14ac:dyDescent="0.55000000000000004">
      <c r="B4" s="9" t="s">
        <v>184</v>
      </c>
      <c r="D4" s="22">
        <f>Assumptions!$D$6+0</f>
        <v>2025</v>
      </c>
      <c r="E4" s="22">
        <f>Assumptions!$D$6+1</f>
        <v>2026</v>
      </c>
      <c r="F4" s="22">
        <f>Assumptions!$D$6+2</f>
        <v>2027</v>
      </c>
      <c r="G4" s="22">
        <f>Assumptions!$D$6+3</f>
        <v>2028</v>
      </c>
      <c r="H4" s="22">
        <f>Assumptions!$D$6+4</f>
        <v>2029</v>
      </c>
      <c r="I4" s="22">
        <f>Assumptions!$D$6+5</f>
        <v>2030</v>
      </c>
      <c r="J4" s="22">
        <f>Assumptions!$D$6+6</f>
        <v>2031</v>
      </c>
      <c r="K4" s="22">
        <f>Assumptions!$D$6+7</f>
        <v>2032</v>
      </c>
      <c r="L4" s="22">
        <f>Assumptions!$D$6+8</f>
        <v>2033</v>
      </c>
      <c r="M4" s="22">
        <f>Assumptions!$D$6+9</f>
        <v>2034</v>
      </c>
      <c r="N4" s="22">
        <f>Assumptions!$D$6+10</f>
        <v>2035</v>
      </c>
    </row>
    <row r="5" spans="2:14" ht="15" customHeight="1" x14ac:dyDescent="0.55000000000000004">
      <c r="B5" s="2" t="s">
        <v>260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ht="15" customHeight="1" x14ac:dyDescent="0.55000000000000004">
      <c r="B6" s="10" t="s">
        <v>261</v>
      </c>
      <c r="D6" s="25">
        <f>IF(0=Assumptions!$D$7,OpEx_CapEx!D9*(1+Assumptions!$D$20/Assumptions!$D$21),0)</f>
        <v>0</v>
      </c>
      <c r="E6" s="25">
        <f>IF(1=Assumptions!$D$7,OpEx_CapEx!E9*(1+Assumptions!$D$20/Assumptions!$D$21),0)</f>
        <v>0</v>
      </c>
      <c r="F6" s="25">
        <f>IF(2=Assumptions!$D$7,OpEx_CapEx!F9*(1+Assumptions!$D$20/Assumptions!$D$21),0)</f>
        <v>0</v>
      </c>
      <c r="G6" s="25">
        <f>IF(3=Assumptions!$D$7,OpEx_CapEx!G9*(1+Assumptions!$D$20/Assumptions!$D$21),0)</f>
        <v>0</v>
      </c>
      <c r="H6" s="25">
        <f>IF(4=Assumptions!$D$7,OpEx_CapEx!H9*(1+Assumptions!$D$20/Assumptions!$D$21),0)</f>
        <v>0</v>
      </c>
      <c r="I6" s="25">
        <f>IF(5=Assumptions!$D$7,OpEx_CapEx!I9*(1+Assumptions!$D$20/Assumptions!$D$21),0)</f>
        <v>0</v>
      </c>
      <c r="J6" s="25">
        <f>IF(6=Assumptions!$D$7,OpEx_CapEx!J9*(1+Assumptions!$D$20/Assumptions!$D$21),0)</f>
        <v>0</v>
      </c>
      <c r="K6" s="25">
        <f>IF(7=Assumptions!$D$7,OpEx_CapEx!K9*(1+Assumptions!$D$20/Assumptions!$D$21),0)</f>
        <v>0</v>
      </c>
      <c r="L6" s="25">
        <f>IF(8=Assumptions!$D$7,OpEx_CapEx!L9*(1+Assumptions!$D$20/Assumptions!$D$21),0)</f>
        <v>0</v>
      </c>
      <c r="M6" s="25">
        <f>IF(9=Assumptions!$D$7,OpEx_CapEx!M9*(1+Assumptions!$D$20/Assumptions!$D$21),0)</f>
        <v>0</v>
      </c>
      <c r="N6" s="25">
        <f>IF(10=Assumptions!$D$7,OpEx_CapEx!N9*(1+Assumptions!$D$20/Assumptions!$D$21),0)</f>
        <v>15217052.825740749</v>
      </c>
    </row>
    <row r="7" spans="2:14" ht="15" customHeight="1" x14ac:dyDescent="0.55000000000000004">
      <c r="B7" s="10" t="s">
        <v>143</v>
      </c>
      <c r="D7" s="29">
        <f>IF(0=Assumptions!$D$7,Assumptions!$D$51,0)</f>
        <v>0</v>
      </c>
      <c r="E7" s="29">
        <f>IF(1=Assumptions!$D$7,Assumptions!$D$51,0)</f>
        <v>0</v>
      </c>
      <c r="F7" s="29">
        <f>IF(2=Assumptions!$D$7,Assumptions!$D$51,0)</f>
        <v>0</v>
      </c>
      <c r="G7" s="29">
        <f>IF(3=Assumptions!$D$7,Assumptions!$D$51,0)</f>
        <v>0</v>
      </c>
      <c r="H7" s="29">
        <f>IF(4=Assumptions!$D$7,Assumptions!$D$51,0)</f>
        <v>0</v>
      </c>
      <c r="I7" s="29">
        <f>IF(5=Assumptions!$D$7,Assumptions!$D$51,0)</f>
        <v>0</v>
      </c>
      <c r="J7" s="29">
        <f>IF(6=Assumptions!$D$7,Assumptions!$D$51,0)</f>
        <v>0</v>
      </c>
      <c r="K7" s="29">
        <f>IF(7=Assumptions!$D$7,Assumptions!$D$51,0)</f>
        <v>0</v>
      </c>
      <c r="L7" s="29">
        <f>IF(8=Assumptions!$D$7,Assumptions!$D$51,0)</f>
        <v>0</v>
      </c>
      <c r="M7" s="29">
        <f>IF(9=Assumptions!$D$7,Assumptions!$D$51,0)</f>
        <v>0</v>
      </c>
      <c r="N7" s="29">
        <f>IF(10=Assumptions!$D$7,Assumptions!$D$51,0)</f>
        <v>7.4999999999999997E-2</v>
      </c>
    </row>
    <row r="8" spans="2:14" ht="15" customHeight="1" x14ac:dyDescent="0.55000000000000004">
      <c r="B8" s="10" t="s">
        <v>262</v>
      </c>
      <c r="D8" s="29">
        <f>IF(0=Assumptions!$D$7,Assumptions!$D$52+Assumptions!$D$53+Assumptions!$D$54,0)</f>
        <v>0</v>
      </c>
      <c r="E8" s="29">
        <f>IF(1=Assumptions!$D$7,Assumptions!$D$52+Assumptions!$D$53+Assumptions!$D$54,0)</f>
        <v>0</v>
      </c>
      <c r="F8" s="29">
        <f>IF(2=Assumptions!$D$7,Assumptions!$D$52+Assumptions!$D$53+Assumptions!$D$54,0)</f>
        <v>0</v>
      </c>
      <c r="G8" s="29">
        <f>IF(3=Assumptions!$D$7,Assumptions!$D$52+Assumptions!$D$53+Assumptions!$D$54,0)</f>
        <v>0</v>
      </c>
      <c r="H8" s="29">
        <f>IF(4=Assumptions!$D$7,Assumptions!$D$52+Assumptions!$D$53+Assumptions!$D$54,0)</f>
        <v>0</v>
      </c>
      <c r="I8" s="29">
        <f>IF(5=Assumptions!$D$7,Assumptions!$D$52+Assumptions!$D$53+Assumptions!$D$54,0)</f>
        <v>0</v>
      </c>
      <c r="J8" s="29">
        <f>IF(6=Assumptions!$D$7,Assumptions!$D$52+Assumptions!$D$53+Assumptions!$D$54,0)</f>
        <v>0</v>
      </c>
      <c r="K8" s="29">
        <f>IF(7=Assumptions!$D$7,Assumptions!$D$52+Assumptions!$D$53+Assumptions!$D$54,0)</f>
        <v>0</v>
      </c>
      <c r="L8" s="29">
        <f>IF(8=Assumptions!$D$7,Assumptions!$D$52+Assumptions!$D$53+Assumptions!$D$54,0)</f>
        <v>0</v>
      </c>
      <c r="M8" s="29">
        <f>IF(9=Assumptions!$D$7,Assumptions!$D$52+Assumptions!$D$53+Assumptions!$D$54,0)</f>
        <v>0</v>
      </c>
      <c r="N8" s="29">
        <f>IF(10=Assumptions!$D$7,Assumptions!$D$52+Assumptions!$D$53+Assumptions!$D$54,0)</f>
        <v>3.0000000000000002E-2</v>
      </c>
    </row>
    <row r="9" spans="2:14" ht="15" customHeight="1" x14ac:dyDescent="0.55000000000000004">
      <c r="B9" s="26" t="s">
        <v>263</v>
      </c>
      <c r="D9" s="27">
        <f t="shared" ref="D9:N9" si="0">IFERROR(IF(D7=0,0,D6/D7),0)</f>
        <v>0</v>
      </c>
      <c r="E9" s="27">
        <f t="shared" si="0"/>
        <v>0</v>
      </c>
      <c r="F9" s="27">
        <f t="shared" si="0"/>
        <v>0</v>
      </c>
      <c r="G9" s="27">
        <f t="shared" si="0"/>
        <v>0</v>
      </c>
      <c r="H9" s="27">
        <f t="shared" si="0"/>
        <v>0</v>
      </c>
      <c r="I9" s="27">
        <f t="shared" si="0"/>
        <v>0</v>
      </c>
      <c r="J9" s="27">
        <f t="shared" si="0"/>
        <v>0</v>
      </c>
      <c r="K9" s="27">
        <f t="shared" si="0"/>
        <v>0</v>
      </c>
      <c r="L9" s="27">
        <f t="shared" si="0"/>
        <v>0</v>
      </c>
      <c r="M9" s="27">
        <f t="shared" si="0"/>
        <v>0</v>
      </c>
      <c r="N9" s="27">
        <f t="shared" si="0"/>
        <v>202894037.67654333</v>
      </c>
    </row>
    <row r="10" spans="2:14" ht="15" customHeight="1" x14ac:dyDescent="0.55000000000000004">
      <c r="B10" s="26" t="s">
        <v>264</v>
      </c>
      <c r="D10" s="27">
        <f t="shared" ref="D10:N10" si="1">D9*(1-D8)</f>
        <v>0</v>
      </c>
      <c r="E10" s="27">
        <f t="shared" si="1"/>
        <v>0</v>
      </c>
      <c r="F10" s="27">
        <f t="shared" si="1"/>
        <v>0</v>
      </c>
      <c r="G10" s="27">
        <f t="shared" si="1"/>
        <v>0</v>
      </c>
      <c r="H10" s="27">
        <f t="shared" si="1"/>
        <v>0</v>
      </c>
      <c r="I10" s="27">
        <f t="shared" si="1"/>
        <v>0</v>
      </c>
      <c r="J10" s="27">
        <f t="shared" si="1"/>
        <v>0</v>
      </c>
      <c r="K10" s="27">
        <f t="shared" si="1"/>
        <v>0</v>
      </c>
      <c r="L10" s="27">
        <f t="shared" si="1"/>
        <v>0</v>
      </c>
      <c r="M10" s="27">
        <f t="shared" si="1"/>
        <v>0</v>
      </c>
      <c r="N10" s="27">
        <f t="shared" si="1"/>
        <v>196807216.54624701</v>
      </c>
    </row>
    <row r="12" spans="2:14" ht="15" customHeight="1" x14ac:dyDescent="0.55000000000000004">
      <c r="B12" s="2" t="s">
        <v>265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ht="15" customHeight="1" x14ac:dyDescent="0.55000000000000004">
      <c r="B13" s="10" t="s">
        <v>266</v>
      </c>
      <c r="D13" s="25">
        <f>Cash_Flow!D15</f>
        <v>-215500000.00000003</v>
      </c>
      <c r="E13" s="25">
        <f>Cash_Flow!E15</f>
        <v>12198300</v>
      </c>
      <c r="F13" s="25">
        <f>Cash_Flow!F15</f>
        <v>12168375</v>
      </c>
      <c r="G13" s="25">
        <f>Cash_Flow!G15</f>
        <v>12535963.012499999</v>
      </c>
      <c r="H13" s="25">
        <f>Cash_Flow!H15</f>
        <v>12503535.277874999</v>
      </c>
      <c r="I13" s="25">
        <f>Cash_Flow!I15</f>
        <v>9879075.3528730869</v>
      </c>
      <c r="J13" s="25">
        <f>Cash_Flow!J15</f>
        <v>12843929.38470928</v>
      </c>
      <c r="K13" s="25">
        <f>Cash_Flow!K15</f>
        <v>13227383.555760898</v>
      </c>
      <c r="L13" s="25">
        <f>Cash_Flow!L15</f>
        <v>13189284.881821224</v>
      </c>
      <c r="M13" s="25">
        <f>Cash_Flow!M15</f>
        <v>13580588.929289129</v>
      </c>
      <c r="N13" s="25">
        <f>Cash_Flow!N15</f>
        <v>210346498.95238394</v>
      </c>
    </row>
    <row r="14" spans="2:14" ht="15" customHeight="1" x14ac:dyDescent="0.55000000000000004">
      <c r="B14" s="10" t="s">
        <v>267</v>
      </c>
      <c r="D14" s="33">
        <f>1/(1+Assumptions!$D$68)^0</f>
        <v>1</v>
      </c>
      <c r="E14" s="33">
        <f>1/(1+Assumptions!$D$68)^1</f>
        <v>0.92165898617511521</v>
      </c>
      <c r="F14" s="33">
        <f>1/(1+Assumptions!$D$68)^2</f>
        <v>0.84945528679734128</v>
      </c>
      <c r="G14" s="33">
        <f>1/(1+Assumptions!$D$68)^3</f>
        <v>0.78290809843072917</v>
      </c>
      <c r="H14" s="33">
        <f>1/(1+Assumptions!$D$68)^4</f>
        <v>0.72157428426795334</v>
      </c>
      <c r="I14" s="33">
        <f>1/(1+Assumptions!$D$68)^5</f>
        <v>0.66504542328843619</v>
      </c>
      <c r="J14" s="33">
        <f>1/(1+Assumptions!$D$68)^6</f>
        <v>0.6129450905884205</v>
      </c>
      <c r="K14" s="33">
        <f>1/(1+Assumptions!$D$68)^7</f>
        <v>0.56492635077273778</v>
      </c>
      <c r="L14" s="33">
        <f>1/(1+Assumptions!$D$68)^8</f>
        <v>0.52066944771680901</v>
      </c>
      <c r="M14" s="33">
        <f>1/(1+Assumptions!$D$68)^9</f>
        <v>0.4798796753150314</v>
      </c>
      <c r="N14" s="33">
        <f>1/(1+Assumptions!$D$68)^10</f>
        <v>0.44228541503689528</v>
      </c>
    </row>
    <row r="15" spans="2:14" ht="15" customHeight="1" x14ac:dyDescent="0.55000000000000004">
      <c r="B15" s="10" t="s">
        <v>268</v>
      </c>
      <c r="D15" s="25">
        <f t="shared" ref="D15:N15" si="2">D13*D14</f>
        <v>-215500000.00000003</v>
      </c>
      <c r="E15" s="25">
        <f t="shared" si="2"/>
        <v>11242672.811059907</v>
      </c>
      <c r="F15" s="25">
        <f t="shared" si="2"/>
        <v>10336490.475482598</v>
      </c>
      <c r="G15" s="25">
        <f t="shared" si="2"/>
        <v>9814506.9641143288</v>
      </c>
      <c r="H15" s="25">
        <f t="shared" si="2"/>
        <v>9022229.5189517569</v>
      </c>
      <c r="I15" s="25">
        <f t="shared" si="2"/>
        <v>6570033.8497498389</v>
      </c>
      <c r="J15" s="25">
        <f t="shared" si="2"/>
        <v>7872623.4602219053</v>
      </c>
      <c r="K15" s="25">
        <f t="shared" si="2"/>
        <v>7472497.5224273242</v>
      </c>
      <c r="L15" s="25">
        <f t="shared" si="2"/>
        <v>6867257.6751975156</v>
      </c>
      <c r="M15" s="25">
        <f t="shared" si="2"/>
        <v>6517048.6059741769</v>
      </c>
      <c r="N15" s="25">
        <f t="shared" si="2"/>
        <v>93033188.590712994</v>
      </c>
    </row>
    <row r="17" spans="2:14" ht="15" customHeight="1" x14ac:dyDescent="0.55000000000000004">
      <c r="B17" s="31" t="s">
        <v>269</v>
      </c>
      <c r="D17" s="27">
        <f>SUM(D15:N15)</f>
        <v>-46751450.526107699</v>
      </c>
    </row>
    <row r="18" spans="2:14" ht="15" customHeight="1" x14ac:dyDescent="0.55000000000000004">
      <c r="B18" s="10" t="s">
        <v>270</v>
      </c>
      <c r="D18" s="25">
        <f>D17-Cash_Flow!D12</f>
        <v>168748549.47389233</v>
      </c>
      <c r="F18" s="10" t="s">
        <v>271</v>
      </c>
    </row>
    <row r="20" spans="2:14" ht="15" customHeight="1" x14ac:dyDescent="0.55000000000000004">
      <c r="B20" s="2" t="s">
        <v>272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ht="15" customHeight="1" x14ac:dyDescent="0.55000000000000004">
      <c r="B21" s="10" t="s">
        <v>273</v>
      </c>
      <c r="D21" s="25">
        <f>Cash_Flow!D25</f>
        <v>-108019375.00000001</v>
      </c>
      <c r="E21" s="25">
        <f>Cash_Flow!E25</f>
        <v>1863947.4999999977</v>
      </c>
      <c r="F21" s="25">
        <f>Cash_Flow!F25</f>
        <v>1835518.7499999977</v>
      </c>
      <c r="G21" s="25">
        <f>Cash_Flow!G25</f>
        <v>2184727.3618749972</v>
      </c>
      <c r="H21" s="25">
        <f>Cash_Flow!H25</f>
        <v>2153921.0139812464</v>
      </c>
      <c r="I21" s="25">
        <f>Cash_Flow!I25</f>
        <v>-357174.6471269154</v>
      </c>
      <c r="J21" s="25">
        <f>Cash_Flow!J25</f>
        <v>2477295.4154738137</v>
      </c>
      <c r="K21" s="25">
        <f>Cash_Flow!K25</f>
        <v>2841576.8779728506</v>
      </c>
      <c r="L21" s="25">
        <f>Cash_Flow!L25</f>
        <v>2805383.1377301612</v>
      </c>
      <c r="M21" s="25">
        <f>Cash_Flow!M25</f>
        <v>3177121.9828246702</v>
      </c>
      <c r="N21" s="25">
        <f>Cash_Flow!N25</f>
        <v>92195097.332077071</v>
      </c>
    </row>
    <row r="22" spans="2:14" ht="15" customHeight="1" x14ac:dyDescent="0.55000000000000004">
      <c r="B22" s="10" t="s">
        <v>274</v>
      </c>
      <c r="D22" s="33">
        <f>1/(1+Assumptions!$D$66)^0</f>
        <v>1</v>
      </c>
      <c r="E22" s="33">
        <f>1/(1+Assumptions!$D$66)^1</f>
        <v>0.90909090909090906</v>
      </c>
      <c r="F22" s="33">
        <f>1/(1+Assumptions!$D$66)^2</f>
        <v>0.82644628099173545</v>
      </c>
      <c r="G22" s="33">
        <f>1/(1+Assumptions!$D$66)^3</f>
        <v>0.75131480090157754</v>
      </c>
      <c r="H22" s="33">
        <f>1/(1+Assumptions!$D$66)^4</f>
        <v>0.68301345536507052</v>
      </c>
      <c r="I22" s="33">
        <f>1/(1+Assumptions!$D$66)^5</f>
        <v>0.62092132305915493</v>
      </c>
      <c r="J22" s="33">
        <f>1/(1+Assumptions!$D$66)^6</f>
        <v>0.56447393005377722</v>
      </c>
      <c r="K22" s="33">
        <f>1/(1+Assumptions!$D$66)^7</f>
        <v>0.51315811823070645</v>
      </c>
      <c r="L22" s="33">
        <f>1/(1+Assumptions!$D$66)^8</f>
        <v>0.46650738020973315</v>
      </c>
      <c r="M22" s="33">
        <f>1/(1+Assumptions!$D$66)^9</f>
        <v>0.42409761837248466</v>
      </c>
      <c r="N22" s="33">
        <f>1/(1+Assumptions!$D$66)^10</f>
        <v>0.38554328942953148</v>
      </c>
    </row>
    <row r="23" spans="2:14" ht="15" customHeight="1" x14ac:dyDescent="0.55000000000000004">
      <c r="B23" s="10" t="s">
        <v>275</v>
      </c>
      <c r="D23" s="25">
        <f t="shared" ref="D23:N23" si="3">D21*D22</f>
        <v>-108019375.00000001</v>
      </c>
      <c r="E23" s="25">
        <f t="shared" si="3"/>
        <v>1694497.7272727252</v>
      </c>
      <c r="F23" s="25">
        <f t="shared" si="3"/>
        <v>1516957.6446280971</v>
      </c>
      <c r="G23" s="25">
        <f t="shared" si="3"/>
        <v>1641418.0029113423</v>
      </c>
      <c r="H23" s="25">
        <f t="shared" si="3"/>
        <v>1471157.0343427674</v>
      </c>
      <c r="I23" s="25">
        <f t="shared" si="3"/>
        <v>-221777.35445723109</v>
      </c>
      <c r="J23" s="25">
        <f t="shared" si="3"/>
        <v>1398368.6790767084</v>
      </c>
      <c r="K23" s="25">
        <f t="shared" si="3"/>
        <v>1458178.2435084337</v>
      </c>
      <c r="L23" s="25">
        <f t="shared" si="3"/>
        <v>1308731.9380670586</v>
      </c>
      <c r="M23" s="25">
        <f t="shared" si="3"/>
        <v>1347409.8661948086</v>
      </c>
      <c r="N23" s="25">
        <f t="shared" si="3"/>
        <v>35545201.094684817</v>
      </c>
    </row>
    <row r="25" spans="2:14" ht="15" customHeight="1" x14ac:dyDescent="0.55000000000000004">
      <c r="B25" s="31" t="s">
        <v>276</v>
      </c>
      <c r="D25" s="27">
        <f>SUM(D23:N23)</f>
        <v>-60859232.123770498</v>
      </c>
    </row>
  </sheetData>
  <mergeCells count="4">
    <mergeCell ref="B2:N2"/>
    <mergeCell ref="B5:N5"/>
    <mergeCell ref="B12:N12"/>
    <mergeCell ref="B20:N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36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42" customWidth="1"/>
    <col min="3" max="3" width="4" customWidth="1"/>
    <col min="4" max="5" width="20" customWidth="1"/>
    <col min="6" max="6" width="50" customWidth="1"/>
  </cols>
  <sheetData>
    <row r="2" spans="2:6" ht="27.75" customHeight="1" x14ac:dyDescent="0.55000000000000004">
      <c r="B2" s="3" t="s">
        <v>277</v>
      </c>
      <c r="C2" s="3"/>
      <c r="D2" s="3"/>
      <c r="E2" s="3"/>
      <c r="F2" s="3"/>
    </row>
    <row r="4" spans="2:6" ht="15" customHeight="1" x14ac:dyDescent="0.55000000000000004">
      <c r="B4" s="2" t="s">
        <v>278</v>
      </c>
      <c r="C4" s="2"/>
      <c r="D4" s="2"/>
      <c r="E4" s="2"/>
      <c r="F4" s="2"/>
    </row>
    <row r="5" spans="2:6" ht="15" customHeight="1" x14ac:dyDescent="0.55000000000000004">
      <c r="B5" s="10" t="s">
        <v>279</v>
      </c>
      <c r="D5" s="34">
        <f>IFERROR(IRR(Cash_Flow!D15:N15),0)</f>
        <v>5.11175480037247E-2</v>
      </c>
    </row>
    <row r="6" spans="2:6" ht="15" customHeight="1" x14ac:dyDescent="0.55000000000000004">
      <c r="B6" s="10" t="s">
        <v>280</v>
      </c>
      <c r="D6" s="34">
        <f>IFERROR(IRR(Cash_Flow!D25:N25),0)</f>
        <v>3.1276318908279865E-3</v>
      </c>
    </row>
    <row r="7" spans="2:6" ht="15" customHeight="1" x14ac:dyDescent="0.55000000000000004">
      <c r="B7" s="10" t="s">
        <v>281</v>
      </c>
      <c r="D7" s="34">
        <f>Assumptions!$D$68</f>
        <v>8.5000000000000006E-2</v>
      </c>
    </row>
    <row r="8" spans="2:6" ht="15" customHeight="1" x14ac:dyDescent="0.55000000000000004">
      <c r="B8" s="10" t="s">
        <v>282</v>
      </c>
      <c r="D8" s="34">
        <f>Assumptions!$D$71</f>
        <v>0.1</v>
      </c>
    </row>
    <row r="9" spans="2:6" ht="15" customHeight="1" x14ac:dyDescent="0.55000000000000004">
      <c r="B9" s="10" t="s">
        <v>283</v>
      </c>
      <c r="D9" s="34">
        <f>D5-D7</f>
        <v>-3.3882451996275306E-2</v>
      </c>
    </row>
    <row r="10" spans="2:6" ht="15" customHeight="1" x14ac:dyDescent="0.55000000000000004">
      <c r="B10" s="10" t="s">
        <v>284</v>
      </c>
      <c r="D10" s="34">
        <f>D6-D8</f>
        <v>-9.6872368109172019E-2</v>
      </c>
    </row>
    <row r="11" spans="2:6" ht="15" customHeight="1" x14ac:dyDescent="0.55000000000000004">
      <c r="B11" s="10" t="s">
        <v>285</v>
      </c>
      <c r="D11" s="32">
        <f>DCF!D17</f>
        <v>-46751450.526107699</v>
      </c>
    </row>
    <row r="12" spans="2:6" ht="15" customHeight="1" x14ac:dyDescent="0.55000000000000004">
      <c r="B12" s="10" t="s">
        <v>286</v>
      </c>
      <c r="D12" s="32">
        <f>DCF!D25</f>
        <v>-60859232.123770498</v>
      </c>
    </row>
    <row r="14" spans="2:6" ht="15" customHeight="1" x14ac:dyDescent="0.55000000000000004">
      <c r="B14" s="2" t="s">
        <v>287</v>
      </c>
      <c r="C14" s="2"/>
      <c r="D14" s="2"/>
      <c r="E14" s="2"/>
      <c r="F14" s="2"/>
    </row>
    <row r="15" spans="2:6" ht="15" customHeight="1" x14ac:dyDescent="0.55000000000000004">
      <c r="B15" s="10" t="s">
        <v>288</v>
      </c>
      <c r="D15" s="32">
        <f>ABS(Cash_Flow!D25)</f>
        <v>108019375.00000001</v>
      </c>
    </row>
    <row r="16" spans="2:6" ht="15" customHeight="1" x14ac:dyDescent="0.55000000000000004">
      <c r="B16" s="10" t="s">
        <v>289</v>
      </c>
      <c r="D16" s="32">
        <f>SUMIF(Cash_Flow!D25:N25,"&gt;0")</f>
        <v>111534589.3719348</v>
      </c>
    </row>
    <row r="17" spans="2:6" ht="15" customHeight="1" x14ac:dyDescent="0.55000000000000004">
      <c r="B17" s="31" t="s">
        <v>290</v>
      </c>
      <c r="D17" s="35">
        <f>IFERROR(D16/D15,0)</f>
        <v>1.0325424431675778</v>
      </c>
    </row>
    <row r="18" spans="2:6" ht="15" customHeight="1" x14ac:dyDescent="0.55000000000000004">
      <c r="B18" s="10" t="s">
        <v>174</v>
      </c>
      <c r="D18" s="36">
        <f>Assumptions!$D$72</f>
        <v>1.75</v>
      </c>
    </row>
    <row r="19" spans="2:6" ht="15" customHeight="1" x14ac:dyDescent="0.55000000000000004">
      <c r="B19" s="10" t="s">
        <v>291</v>
      </c>
      <c r="D19" s="37">
        <f>IFERROR(MATCH(TRUE(),INDEX(Cash_Flow!E26:N26&gt;=0,0),0),"Beyond exit")</f>
        <v>10</v>
      </c>
    </row>
    <row r="21" spans="2:6" ht="15" customHeight="1" x14ac:dyDescent="0.55000000000000004">
      <c r="B21" s="2" t="s">
        <v>292</v>
      </c>
      <c r="C21" s="2"/>
      <c r="D21" s="2"/>
      <c r="E21" s="2"/>
      <c r="F21" s="2"/>
    </row>
    <row r="22" spans="2:6" ht="15" customHeight="1" x14ac:dyDescent="0.55000000000000004">
      <c r="B22" s="10" t="s">
        <v>293</v>
      </c>
      <c r="D22" s="34">
        <f>IFERROR((Cash_Flow!E25-Debt!E11)/Assumptions!$D$48,0)</f>
        <v>1.7298816705336402E-2</v>
      </c>
    </row>
    <row r="23" spans="2:6" ht="15" customHeight="1" x14ac:dyDescent="0.55000000000000004">
      <c r="B23" s="10" t="s">
        <v>294</v>
      </c>
      <c r="D23" s="34">
        <f>IFERROR(OpEx_CapEx!E9/Assumptions!$D$16,0)</f>
        <v>6.2819025522041758E-2</v>
      </c>
    </row>
    <row r="24" spans="2:6" ht="15" customHeight="1" x14ac:dyDescent="0.55000000000000004">
      <c r="B24" s="10" t="s">
        <v>295</v>
      </c>
      <c r="D24" s="34">
        <f>IFERROR(OpEx_CapEx!E9/Assumptions!$D$11,0)</f>
        <v>6.7687499999999998E-2</v>
      </c>
    </row>
    <row r="26" spans="2:6" ht="15" customHeight="1" x14ac:dyDescent="0.55000000000000004">
      <c r="B26" s="2" t="s">
        <v>296</v>
      </c>
      <c r="C26" s="2"/>
      <c r="D26" s="2"/>
      <c r="E26" s="2"/>
      <c r="F26" s="2"/>
    </row>
    <row r="27" spans="2:6" ht="15" customHeight="1" x14ac:dyDescent="0.55000000000000004">
      <c r="B27" s="10" t="s">
        <v>297</v>
      </c>
      <c r="D27" s="34">
        <f>Assumptions!$D$47/Assumptions!$D$16</f>
        <v>0.5</v>
      </c>
    </row>
    <row r="28" spans="2:6" ht="15" customHeight="1" x14ac:dyDescent="0.55000000000000004">
      <c r="B28" s="10" t="s">
        <v>298</v>
      </c>
      <c r="D28" s="38">
        <f>IFERROR(MIN(Debt!E16:N16),0)</f>
        <v>0.13003595439135904</v>
      </c>
    </row>
    <row r="29" spans="2:6" ht="15" customHeight="1" x14ac:dyDescent="0.55000000000000004">
      <c r="B29" s="10" t="s">
        <v>299</v>
      </c>
      <c r="D29" s="38">
        <f>IFERROR(AVERAGE(Debt!E16:M16),0)</f>
        <v>1.8799382564260878</v>
      </c>
    </row>
    <row r="30" spans="2:6" ht="15" customHeight="1" x14ac:dyDescent="0.55000000000000004">
      <c r="B30" s="10" t="s">
        <v>300</v>
      </c>
      <c r="D30" s="34">
        <f>IFERROR(AVERAGE(Debt!E18:M18),0)</f>
        <v>0.13159567794982616</v>
      </c>
    </row>
    <row r="31" spans="2:6" ht="15" customHeight="1" x14ac:dyDescent="0.55000000000000004">
      <c r="B31" s="10" t="s">
        <v>301</v>
      </c>
      <c r="D31" s="38">
        <f>IFERROR(MIN(Debt!E15:N15),0)</f>
        <v>1.7919953596287699</v>
      </c>
    </row>
    <row r="33" spans="2:6" ht="15" customHeight="1" x14ac:dyDescent="0.55000000000000004">
      <c r="B33" s="2" t="s">
        <v>302</v>
      </c>
      <c r="C33" s="2"/>
      <c r="D33" s="2"/>
      <c r="E33" s="2"/>
      <c r="F33" s="2"/>
    </row>
    <row r="34" spans="2:6" ht="15" customHeight="1" x14ac:dyDescent="0.55000000000000004">
      <c r="B34" s="10" t="s">
        <v>303</v>
      </c>
      <c r="D34" s="34">
        <f>IFERROR(1-ABS(Debt!E12)/(Assumptions!$D$19*(1-Assumptions!$D$25-Assumptions!$D$26)),0)</f>
        <v>0.47070175438596473</v>
      </c>
    </row>
    <row r="35" spans="2:6" ht="15" customHeight="1" x14ac:dyDescent="0.55000000000000004">
      <c r="B35" s="10" t="s">
        <v>304</v>
      </c>
      <c r="D35" s="32">
        <f>OpEx_CapEx!E9-ABS(Debt!E12)</f>
        <v>5994999.9999999981</v>
      </c>
    </row>
    <row r="36" spans="2:6" ht="15" customHeight="1" x14ac:dyDescent="0.55000000000000004">
      <c r="B36" t="s">
        <v>305</v>
      </c>
      <c r="D36" s="39">
        <f>MIN(Debt!E16:M16)</f>
        <v>1.7919953596287699</v>
      </c>
    </row>
  </sheetData>
  <mergeCells count="6">
    <mergeCell ref="B33:F33"/>
    <mergeCell ref="B2:F2"/>
    <mergeCell ref="B4:F4"/>
    <mergeCell ref="B14:F14"/>
    <mergeCell ref="B21:F21"/>
    <mergeCell ref="B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20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32" customWidth="1"/>
    <col min="3" max="3" width="5" customWidth="1"/>
    <col min="4" max="7" width="18" customWidth="1"/>
    <col min="8" max="8" width="4" customWidth="1"/>
    <col min="9" max="9" width="32" customWidth="1"/>
    <col min="10" max="10" width="22" customWidth="1"/>
  </cols>
  <sheetData>
    <row r="2" spans="2:10" ht="27.75" customHeight="1" x14ac:dyDescent="0.55000000000000004">
      <c r="B2" s="3" t="s">
        <v>306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55000000000000004">
      <c r="B3" s="5" t="s">
        <v>307</v>
      </c>
    </row>
    <row r="5" spans="2:10" ht="15" customHeight="1" x14ac:dyDescent="0.55000000000000004">
      <c r="B5" s="40" t="s">
        <v>308</v>
      </c>
      <c r="C5" s="40" t="s">
        <v>309</v>
      </c>
      <c r="D5" s="40" t="s">
        <v>310</v>
      </c>
      <c r="E5" s="40" t="s">
        <v>311</v>
      </c>
      <c r="F5" s="40" t="s">
        <v>312</v>
      </c>
    </row>
    <row r="6" spans="2:10" ht="15" customHeight="1" x14ac:dyDescent="0.55000000000000004">
      <c r="B6" s="10" t="s">
        <v>313</v>
      </c>
      <c r="C6" s="41">
        <v>0</v>
      </c>
      <c r="D6" s="41">
        <v>-0.01</v>
      </c>
      <c r="E6" s="41">
        <v>-0.03</v>
      </c>
      <c r="F6" s="41">
        <v>0.01</v>
      </c>
    </row>
    <row r="7" spans="2:10" ht="15" customHeight="1" x14ac:dyDescent="0.55000000000000004">
      <c r="B7" s="10" t="s">
        <v>314</v>
      </c>
      <c r="C7" s="41">
        <v>0</v>
      </c>
      <c r="D7" s="41">
        <v>0.05</v>
      </c>
      <c r="E7" s="41">
        <v>0.15</v>
      </c>
      <c r="F7" s="41">
        <v>-0.03</v>
      </c>
    </row>
    <row r="8" spans="2:10" ht="15" customHeight="1" x14ac:dyDescent="0.55000000000000004">
      <c r="B8" s="10" t="s">
        <v>315</v>
      </c>
      <c r="C8" s="41">
        <v>0</v>
      </c>
      <c r="D8" s="41">
        <v>0.1</v>
      </c>
      <c r="E8" s="41">
        <v>0.25</v>
      </c>
      <c r="F8" s="41">
        <v>-0.05</v>
      </c>
    </row>
    <row r="9" spans="2:10" ht="15" customHeight="1" x14ac:dyDescent="0.55000000000000004">
      <c r="B9" s="10" t="s">
        <v>316</v>
      </c>
      <c r="C9" s="41">
        <v>0</v>
      </c>
      <c r="D9" s="41">
        <v>50</v>
      </c>
      <c r="E9" s="41">
        <v>150</v>
      </c>
      <c r="F9" s="41">
        <v>-25</v>
      </c>
    </row>
    <row r="10" spans="2:10" ht="15" customHeight="1" x14ac:dyDescent="0.55000000000000004">
      <c r="B10" s="10" t="s">
        <v>317</v>
      </c>
      <c r="C10" s="41">
        <v>0</v>
      </c>
      <c r="D10" s="41">
        <v>100</v>
      </c>
      <c r="E10" s="41">
        <v>250</v>
      </c>
      <c r="F10" s="41">
        <v>-25</v>
      </c>
    </row>
    <row r="12" spans="2:10" ht="15" customHeight="1" x14ac:dyDescent="0.55000000000000004">
      <c r="B12" s="2" t="s">
        <v>318</v>
      </c>
      <c r="C12" s="2"/>
      <c r="D12" s="2"/>
      <c r="E12" s="2"/>
      <c r="F12" s="2"/>
      <c r="G12" s="2"/>
      <c r="H12" s="2"/>
      <c r="I12" s="2"/>
      <c r="J12" s="2"/>
    </row>
    <row r="13" spans="2:10" ht="15" customHeight="1" x14ac:dyDescent="0.55000000000000004">
      <c r="B13" s="10" t="s">
        <v>319</v>
      </c>
    </row>
    <row r="14" spans="2:10" ht="15" customHeight="1" x14ac:dyDescent="0.55000000000000004">
      <c r="B14" s="10" t="s">
        <v>320</v>
      </c>
    </row>
    <row r="16" spans="2:10" ht="15" customHeight="1" x14ac:dyDescent="0.55000000000000004">
      <c r="B16" s="31" t="s">
        <v>321</v>
      </c>
    </row>
    <row r="17" spans="2:2" ht="15" customHeight="1" x14ac:dyDescent="0.55000000000000004">
      <c r="B17" s="10" t="s">
        <v>322</v>
      </c>
    </row>
    <row r="18" spans="2:2" ht="15" customHeight="1" x14ac:dyDescent="0.55000000000000004">
      <c r="B18" s="10" t="s">
        <v>323</v>
      </c>
    </row>
    <row r="19" spans="2:2" ht="15" customHeight="1" x14ac:dyDescent="0.55000000000000004">
      <c r="B19" s="10" t="s">
        <v>324</v>
      </c>
    </row>
    <row r="20" spans="2:2" ht="15" customHeight="1" x14ac:dyDescent="0.55000000000000004">
      <c r="B20" s="10" t="s">
        <v>325</v>
      </c>
    </row>
  </sheetData>
  <mergeCells count="2">
    <mergeCell ref="B2:J2"/>
    <mergeCell ref="B12:J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23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36" customWidth="1"/>
    <col min="3" max="3" width="2" customWidth="1"/>
    <col min="4" max="8" width="15" customWidth="1"/>
  </cols>
  <sheetData>
    <row r="2" spans="2:8" ht="27.75" customHeight="1" x14ac:dyDescent="0.55000000000000004">
      <c r="B2" s="3" t="s">
        <v>326</v>
      </c>
      <c r="C2" s="3"/>
      <c r="D2" s="3"/>
      <c r="E2" s="3"/>
      <c r="F2" s="3"/>
      <c r="G2" s="3"/>
      <c r="H2" s="3"/>
    </row>
    <row r="3" spans="2:8" ht="15" customHeight="1" x14ac:dyDescent="0.55000000000000004">
      <c r="B3" s="10" t="s">
        <v>327</v>
      </c>
    </row>
    <row r="5" spans="2:8" ht="15" customHeight="1" x14ac:dyDescent="0.55000000000000004">
      <c r="B5" s="2" t="s">
        <v>328</v>
      </c>
      <c r="C5" s="2"/>
      <c r="D5" s="2"/>
      <c r="E5" s="2"/>
      <c r="F5" s="2"/>
      <c r="G5" s="2"/>
      <c r="H5" s="2"/>
    </row>
    <row r="6" spans="2:8" ht="15" customHeight="1" x14ac:dyDescent="0.55000000000000004">
      <c r="B6" s="10" t="s">
        <v>329</v>
      </c>
      <c r="D6" s="34">
        <f>Returns!D6</f>
        <v>3.1276318908279865E-3</v>
      </c>
    </row>
    <row r="8" spans="2:8" ht="15" customHeight="1" x14ac:dyDescent="0.55000000000000004">
      <c r="B8" s="31" t="s">
        <v>330</v>
      </c>
      <c r="C8" s="42">
        <v>-0.01</v>
      </c>
      <c r="D8" s="42">
        <v>-5.0000000000000001E-3</v>
      </c>
      <c r="E8" s="42">
        <v>0</v>
      </c>
      <c r="F8" s="42">
        <v>5.0000000000000001E-3</v>
      </c>
      <c r="G8" s="42">
        <v>0.01</v>
      </c>
      <c r="H8" s="42">
        <v>1.4999999999999999E-2</v>
      </c>
    </row>
    <row r="9" spans="2:8" ht="15" customHeight="1" x14ac:dyDescent="0.55000000000000004">
      <c r="B9" s="10" t="s">
        <v>331</v>
      </c>
      <c r="C9" s="43">
        <f>Assumptions!$D$51+C8</f>
        <v>6.5000000000000002E-2</v>
      </c>
      <c r="D9" s="43">
        <f>Assumptions!$D$51+D8</f>
        <v>6.9999999999999993E-2</v>
      </c>
      <c r="E9" s="43">
        <f>Assumptions!$D$51+E8</f>
        <v>7.4999999999999997E-2</v>
      </c>
      <c r="F9" s="43">
        <f>Assumptions!$D$51+F8</f>
        <v>0.08</v>
      </c>
      <c r="G9" s="43">
        <f>Assumptions!$D$51+G8</f>
        <v>8.4999999999999992E-2</v>
      </c>
      <c r="H9" s="43">
        <f>Assumptions!$D$51+H8</f>
        <v>0.09</v>
      </c>
    </row>
    <row r="10" spans="2:8" ht="15" customHeight="1" x14ac:dyDescent="0.55000000000000004">
      <c r="B10" s="10" t="s">
        <v>332</v>
      </c>
      <c r="C10" s="25">
        <f>DCF!N6/C9</f>
        <v>234108505.01139614</v>
      </c>
      <c r="D10" s="25">
        <f>DCF!N6/D9</f>
        <v>217386468.93915358</v>
      </c>
      <c r="E10" s="25">
        <f>DCF!N6/E9</f>
        <v>202894037.67654333</v>
      </c>
      <c r="F10" s="25">
        <f>DCF!N6/F9</f>
        <v>190213160.32175937</v>
      </c>
      <c r="G10" s="25">
        <f>DCF!N6/G9</f>
        <v>179024150.89106765</v>
      </c>
      <c r="H10" s="25">
        <f>DCF!N6/H9</f>
        <v>169078364.73045278</v>
      </c>
    </row>
    <row r="11" spans="2:8" ht="15" customHeight="1" x14ac:dyDescent="0.55000000000000004">
      <c r="B11" s="10" t="s">
        <v>333</v>
      </c>
      <c r="C11" s="25">
        <f>C10*(1-Assumptions!$D$52-Assumptions!$D$53-Assumptions!$D$54)</f>
        <v>227085249.86105424</v>
      </c>
      <c r="D11" s="25">
        <f>D10*(1-Assumptions!$D$52-Assumptions!$D$53-Assumptions!$D$54)</f>
        <v>210864874.87097898</v>
      </c>
      <c r="E11" s="25">
        <f>E10*(1-Assumptions!$D$52-Assumptions!$D$53-Assumptions!$D$54)</f>
        <v>196807216.54624701</v>
      </c>
      <c r="F11" s="25">
        <f>F10*(1-Assumptions!$D$52-Assumptions!$D$53-Assumptions!$D$54)</f>
        <v>184506765.5121066</v>
      </c>
      <c r="G11" s="25">
        <f>G10*(1-Assumptions!$D$52-Assumptions!$D$53-Assumptions!$D$54)</f>
        <v>173653426.36433563</v>
      </c>
      <c r="H11" s="25">
        <f>H10*(1-Assumptions!$D$52-Assumptions!$D$53-Assumptions!$D$54)</f>
        <v>164006013.7885392</v>
      </c>
    </row>
    <row r="12" spans="2:8" ht="15" customHeight="1" x14ac:dyDescent="0.55000000000000004">
      <c r="B12" s="10" t="s">
        <v>334</v>
      </c>
      <c r="C12" s="25">
        <f>C11-DCF!N10</f>
        <v>30278033.314807236</v>
      </c>
      <c r="D12" s="25">
        <f>D11-DCF!N10</f>
        <v>14057658.324731976</v>
      </c>
      <c r="E12" s="25">
        <f>E11-DCF!N10</f>
        <v>0</v>
      </c>
      <c r="F12" s="25">
        <f>F11-DCF!N10</f>
        <v>-12300451.034140408</v>
      </c>
      <c r="G12" s="25">
        <f>G11-DCF!N10</f>
        <v>-23153790.181911379</v>
      </c>
      <c r="H12" s="25">
        <f>H11-DCF!N10</f>
        <v>-32801202.757707804</v>
      </c>
    </row>
    <row r="14" spans="2:8" ht="15" customHeight="1" x14ac:dyDescent="0.55000000000000004">
      <c r="B14" s="2" t="s">
        <v>335</v>
      </c>
      <c r="C14" s="2"/>
      <c r="D14" s="2"/>
      <c r="E14" s="2"/>
      <c r="F14" s="2"/>
      <c r="G14" s="2"/>
      <c r="H14" s="2"/>
    </row>
    <row r="15" spans="2:8" ht="15" customHeight="1" x14ac:dyDescent="0.55000000000000004">
      <c r="B15" s="31" t="s">
        <v>336</v>
      </c>
      <c r="C15" s="44">
        <v>0</v>
      </c>
      <c r="D15" s="44">
        <v>2.5000000000000001E-2</v>
      </c>
      <c r="E15" s="44">
        <v>0.05</v>
      </c>
      <c r="F15" s="44">
        <v>0.1</v>
      </c>
      <c r="G15" s="44">
        <v>0.15</v>
      </c>
      <c r="H15" s="44">
        <v>0.2</v>
      </c>
    </row>
    <row r="16" spans="2:8" ht="15" customHeight="1" x14ac:dyDescent="0.55000000000000004">
      <c r="B16" s="10" t="s">
        <v>337</v>
      </c>
      <c r="C16" s="25">
        <f>Assumptions!$D$19*(1-C15)</f>
        <v>15000000</v>
      </c>
      <c r="D16" s="25">
        <f>Assumptions!$D$19*(1-D15)</f>
        <v>14625000</v>
      </c>
      <c r="E16" s="25">
        <f>Assumptions!$D$19*(1-E15)</f>
        <v>14250000</v>
      </c>
      <c r="F16" s="25">
        <f>Assumptions!$D$19*(1-F15)</f>
        <v>13500000</v>
      </c>
      <c r="G16" s="25">
        <f>Assumptions!$D$19*(1-G15)</f>
        <v>12750000</v>
      </c>
      <c r="H16" s="25">
        <f>Assumptions!$D$19*(1-H15)</f>
        <v>12000000</v>
      </c>
    </row>
    <row r="17" spans="2:8" ht="15" customHeight="1" x14ac:dyDescent="0.55000000000000004">
      <c r="B17" s="10" t="s">
        <v>338</v>
      </c>
      <c r="C17" s="25">
        <f>C16*(1-Assumptions!$D$25-Assumptions!$D$26)</f>
        <v>14250000</v>
      </c>
      <c r="D17" s="25">
        <f>D16*(1-Assumptions!$D$25-Assumptions!$D$26)</f>
        <v>13893750</v>
      </c>
      <c r="E17" s="25">
        <f>E16*(1-Assumptions!$D$25-Assumptions!$D$26)</f>
        <v>13537500</v>
      </c>
      <c r="F17" s="25">
        <f>F16*(1-Assumptions!$D$25-Assumptions!$D$26)</f>
        <v>12825000</v>
      </c>
      <c r="G17" s="25">
        <f>G16*(1-Assumptions!$D$25-Assumptions!$D$26)</f>
        <v>12112500</v>
      </c>
      <c r="H17" s="25">
        <f>H16*(1-Assumptions!$D$25-Assumptions!$D$26)</f>
        <v>11400000</v>
      </c>
    </row>
    <row r="18" spans="2:8" ht="15" customHeight="1" x14ac:dyDescent="0.55000000000000004">
      <c r="B18" s="10" t="s">
        <v>339</v>
      </c>
      <c r="C18" s="30">
        <f>IFERROR(C17/ABS(Debt!E12),0)</f>
        <v>1.8892940006629098</v>
      </c>
      <c r="D18" s="30">
        <f>IFERROR(D17/ABS(Debt!E12),0)</f>
        <v>1.842061650646337</v>
      </c>
      <c r="E18" s="30">
        <f>IFERROR(E17/ABS(Debt!E12),0)</f>
        <v>1.7948293006297642</v>
      </c>
      <c r="F18" s="30">
        <f>IFERROR(F17/ABS(Debt!E12),0)</f>
        <v>1.7003646005966186</v>
      </c>
      <c r="G18" s="30">
        <f>IFERROR(G17/ABS(Debt!E12),0)</f>
        <v>1.6058999005634733</v>
      </c>
      <c r="H18" s="30">
        <f>IFERROR(H17/ABS(Debt!E12),0)</f>
        <v>1.5114352005303278</v>
      </c>
    </row>
    <row r="20" spans="2:8" ht="15" customHeight="1" x14ac:dyDescent="0.55000000000000004">
      <c r="B20" s="2" t="s">
        <v>340</v>
      </c>
      <c r="C20" s="2"/>
      <c r="D20" s="2"/>
      <c r="E20" s="2"/>
      <c r="F20" s="2"/>
      <c r="G20" s="2"/>
      <c r="H20" s="2"/>
    </row>
    <row r="21" spans="2:8" ht="15" customHeight="1" x14ac:dyDescent="0.55000000000000004">
      <c r="B21" s="31" t="s">
        <v>341</v>
      </c>
      <c r="C21" s="44">
        <v>0.05</v>
      </c>
      <c r="D21" s="44">
        <v>0.06</v>
      </c>
      <c r="E21" s="44">
        <v>7.0000000000000007E-2</v>
      </c>
      <c r="F21" s="44">
        <v>0.08</v>
      </c>
      <c r="G21" s="44">
        <v>0.09</v>
      </c>
      <c r="H21" s="44">
        <v>0.1</v>
      </c>
    </row>
    <row r="22" spans="2:8" ht="15" customHeight="1" x14ac:dyDescent="0.55000000000000004">
      <c r="B22" s="10" t="s">
        <v>342</v>
      </c>
      <c r="C22" s="25">
        <f>Assumptions!$D$47*C21</f>
        <v>5387500.0000000009</v>
      </c>
      <c r="D22" s="25">
        <f>Assumptions!$D$47*D21</f>
        <v>6465000.0000000009</v>
      </c>
      <c r="E22" s="25">
        <f>Assumptions!$D$47*E21</f>
        <v>7542500.0000000019</v>
      </c>
      <c r="F22" s="25">
        <f>Assumptions!$D$47*F21</f>
        <v>8620000.0000000019</v>
      </c>
      <c r="G22" s="25">
        <f>Assumptions!$D$47*G21</f>
        <v>9697500.0000000019</v>
      </c>
      <c r="H22" s="25">
        <f>Assumptions!$D$47*H21</f>
        <v>10775000.000000002</v>
      </c>
    </row>
    <row r="23" spans="2:8" ht="15" customHeight="1" x14ac:dyDescent="0.55000000000000004">
      <c r="B23" s="10" t="s">
        <v>343</v>
      </c>
      <c r="C23" s="30">
        <f>IFERROR(OpEx_CapEx!E9/C22,0)</f>
        <v>2.51276102088167</v>
      </c>
      <c r="D23" s="30">
        <f>IFERROR(OpEx_CapEx!E9/D22,0)</f>
        <v>2.0939675174013916</v>
      </c>
      <c r="E23" s="30">
        <f>IFERROR(OpEx_CapEx!E9/E22,0)</f>
        <v>1.7948293006297642</v>
      </c>
      <c r="F23" s="30">
        <f>IFERROR(OpEx_CapEx!E9/F22,0)</f>
        <v>1.5704756380510438</v>
      </c>
      <c r="G23" s="30">
        <f>IFERROR(OpEx_CapEx!E9/G22,0)</f>
        <v>1.3959783449342611</v>
      </c>
      <c r="H23" s="30">
        <f>IFERROR(OpEx_CapEx!E9/H22,0)</f>
        <v>1.256380510440835</v>
      </c>
    </row>
  </sheetData>
  <mergeCells count="4">
    <mergeCell ref="B2:H2"/>
    <mergeCell ref="B5:H5"/>
    <mergeCell ref="B14:H14"/>
    <mergeCell ref="B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F21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42" customWidth="1"/>
    <col min="3" max="3" width="5" customWidth="1"/>
    <col min="4" max="5" width="24" customWidth="1"/>
    <col min="6" max="6" width="50" customWidth="1"/>
  </cols>
  <sheetData>
    <row r="2" spans="2:6" ht="27.75" customHeight="1" x14ac:dyDescent="0.55000000000000004">
      <c r="B2" s="3" t="s">
        <v>344</v>
      </c>
      <c r="C2" s="3"/>
      <c r="D2" s="3"/>
      <c r="E2" s="3"/>
      <c r="F2" s="3"/>
    </row>
    <row r="3" spans="2:6" ht="15" customHeight="1" x14ac:dyDescent="0.55000000000000004">
      <c r="B3" s="5" t="s">
        <v>345</v>
      </c>
    </row>
    <row r="5" spans="2:6" ht="15" customHeight="1" x14ac:dyDescent="0.55000000000000004">
      <c r="B5" s="40" t="s">
        <v>346</v>
      </c>
      <c r="C5" s="40" t="s">
        <v>347</v>
      </c>
      <c r="D5" s="40" t="s">
        <v>348</v>
      </c>
      <c r="E5" s="40" t="s">
        <v>349</v>
      </c>
    </row>
    <row r="6" spans="2:6" ht="15" customHeight="1" x14ac:dyDescent="0.55000000000000004">
      <c r="B6" s="10" t="s">
        <v>350</v>
      </c>
      <c r="C6" s="25">
        <f>Assumptions!$D$16</f>
        <v>215500000.00000003</v>
      </c>
      <c r="D6" s="25">
        <f>Assumptions!$D$47+Assumptions!$D$48</f>
        <v>215500000.00000003</v>
      </c>
      <c r="E6" s="45" t="str">
        <f>IF(ABS(D6-C6)&lt;MAX(1,ABS(C6)*0.001),"OK","REVIEW")</f>
        <v>OK</v>
      </c>
    </row>
    <row r="7" spans="2:6" ht="15" customHeight="1" x14ac:dyDescent="0.55000000000000004">
      <c r="B7" s="10" t="s">
        <v>351</v>
      </c>
      <c r="C7" s="25">
        <f>-Assumptions!$D$16</f>
        <v>-215500000.00000003</v>
      </c>
      <c r="D7" s="25">
        <f>Cash_Flow!D12</f>
        <v>-215500000.00000003</v>
      </c>
      <c r="E7" s="45" t="str">
        <f>IF(ABS(D7-C7)&lt;MAX(1,ABS(C7)*0.001),"OK","REVIEW")</f>
        <v>OK</v>
      </c>
    </row>
    <row r="8" spans="2:6" ht="15" customHeight="1" x14ac:dyDescent="0.55000000000000004">
      <c r="B8" s="10" t="s">
        <v>352</v>
      </c>
      <c r="C8" s="25">
        <f>Assumptions!$D$47</f>
        <v>107750000.00000001</v>
      </c>
      <c r="D8" s="25">
        <f>Debt!D6</f>
        <v>107750000.00000001</v>
      </c>
      <c r="E8" s="45" t="str">
        <f>IF(ABS(D8-C8)&lt;MAX(1,ABS(C8)*0.001),"OK","REVIEW")</f>
        <v>OK</v>
      </c>
    </row>
    <row r="9" spans="2:6" ht="15" customHeight="1" x14ac:dyDescent="0.55000000000000004">
      <c r="B9" s="10" t="s">
        <v>353</v>
      </c>
      <c r="C9" s="25">
        <f>0</f>
        <v>0</v>
      </c>
      <c r="D9" s="25">
        <f>Debt!N9</f>
        <v>0</v>
      </c>
      <c r="E9" s="45" t="str">
        <f>IF(ABS(D9-C9)&lt;MAX(1,ABS(C9)*0.001),"OK","REVIEW")</f>
        <v>OK</v>
      </c>
    </row>
    <row r="10" spans="2:6" ht="15" customHeight="1" x14ac:dyDescent="0.55000000000000004">
      <c r="B10" s="10" t="s">
        <v>354</v>
      </c>
      <c r="C10" s="25">
        <f>Assumptions!$D$47</f>
        <v>107750000.00000001</v>
      </c>
      <c r="D10" s="25">
        <f>ABS(SUM(Debt!D7:N7))+ABS(SUM(Debt!D8:N8))</f>
        <v>107750000.00000001</v>
      </c>
      <c r="E10" s="45" t="str">
        <f>IF(ABS(D10-C10)&lt;MAX(1,ABS(C10)*0.001),"OK","REVIEW")</f>
        <v>OK</v>
      </c>
    </row>
    <row r="11" spans="2:6" ht="15" customHeight="1" x14ac:dyDescent="0.55000000000000004">
      <c r="B11" s="10" t="s">
        <v>355</v>
      </c>
      <c r="C11" s="46" t="s">
        <v>356</v>
      </c>
      <c r="D11" s="25">
        <f>Cash_Flow!N15</f>
        <v>210346498.95238394</v>
      </c>
      <c r="E11" s="45" t="str">
        <f>IF(D11&gt;0,"OK","ERROR")</f>
        <v>OK</v>
      </c>
    </row>
    <row r="12" spans="2:6" ht="15" customHeight="1" x14ac:dyDescent="0.55000000000000004">
      <c r="B12" s="10" t="s">
        <v>357</v>
      </c>
      <c r="C12" s="46" t="s">
        <v>358</v>
      </c>
      <c r="D12" s="25">
        <f>COUNTIF(Cash_Flow!E25:N25,"&lt;0")</f>
        <v>1</v>
      </c>
      <c r="E12" s="45" t="str">
        <f>IF(D12=0,"OK","ERROR")</f>
        <v>ERROR</v>
      </c>
    </row>
    <row r="13" spans="2:6" ht="15" customHeight="1" x14ac:dyDescent="0.55000000000000004">
      <c r="B13" s="10" t="s">
        <v>359</v>
      </c>
      <c r="C13" s="46" t="s">
        <v>360</v>
      </c>
      <c r="D13" s="25" t="str">
        <f>IF(Assumptions!$D$68&gt;Assumptions!$D$67,"OK","ERROR")</f>
        <v>OK</v>
      </c>
      <c r="E13" s="45" t="str">
        <f>IF(D13="OK","OK","ERROR")</f>
        <v>OK</v>
      </c>
    </row>
    <row r="14" spans="2:6" ht="15" customHeight="1" x14ac:dyDescent="0.55000000000000004">
      <c r="B14" s="10" t="s">
        <v>361</v>
      </c>
      <c r="C14" s="25">
        <f>Assumptions!$D$73</f>
        <v>1.3</v>
      </c>
      <c r="D14" s="25">
        <f>IFERROR(MIN(Debt!E16:N16),0)</f>
        <v>0.13003595439135904</v>
      </c>
      <c r="E14" s="45" t="str">
        <f>IF(D14&gt;=C14,"OK","ERROR")</f>
        <v>ERROR</v>
      </c>
    </row>
    <row r="15" spans="2:6" ht="15" customHeight="1" x14ac:dyDescent="0.55000000000000004">
      <c r="B15" s="10" t="s">
        <v>362</v>
      </c>
      <c r="C15" s="25">
        <f>Assumptions!$D$74</f>
        <v>0.6</v>
      </c>
      <c r="D15" s="25">
        <f>Assumptions!$D$47/Assumptions!$D$16</f>
        <v>0.5</v>
      </c>
      <c r="E15" s="45" t="str">
        <f>IF(D15&lt;=C15,"OK","ERROR")</f>
        <v>OK</v>
      </c>
    </row>
    <row r="16" spans="2:6" ht="15" customHeight="1" x14ac:dyDescent="0.55000000000000004">
      <c r="B16" s="10" t="s">
        <v>363</v>
      </c>
      <c r="C16" s="25">
        <f>Assumptions!$D$71</f>
        <v>0.1</v>
      </c>
      <c r="D16" s="25">
        <f>Returns!D6</f>
        <v>3.1276318908279865E-3</v>
      </c>
      <c r="E16" s="45" t="str">
        <f>IF(D16&gt;=C16,"OK","ERROR")</f>
        <v>ERROR</v>
      </c>
    </row>
    <row r="17" spans="2:5" ht="15" customHeight="1" x14ac:dyDescent="0.55000000000000004">
      <c r="B17" s="10" t="s">
        <v>364</v>
      </c>
      <c r="C17" s="25">
        <f>Assumptions!$D$68</f>
        <v>8.5000000000000006E-2</v>
      </c>
      <c r="D17" s="25">
        <f>Returns!D5</f>
        <v>5.11175480037247E-2</v>
      </c>
      <c r="E17" s="45" t="str">
        <f>IF(D17&gt;=C17,"OK","ERROR")</f>
        <v>ERROR</v>
      </c>
    </row>
    <row r="18" spans="2:5" ht="15" customHeight="1" x14ac:dyDescent="0.55000000000000004">
      <c r="B18" s="10" t="s">
        <v>365</v>
      </c>
      <c r="C18" s="46" t="s">
        <v>366</v>
      </c>
      <c r="D18" s="25">
        <f>DCF!D17</f>
        <v>-46751450.526107699</v>
      </c>
      <c r="E18" s="45" t="str">
        <f>IF(D18&gt;0,"OK","ERROR")</f>
        <v>ERROR</v>
      </c>
    </row>
    <row r="19" spans="2:5" ht="15" customHeight="1" x14ac:dyDescent="0.55000000000000004">
      <c r="B19" s="10" t="s">
        <v>367</v>
      </c>
      <c r="C19" s="25">
        <f>Assumptions!$D$72</f>
        <v>1.75</v>
      </c>
      <c r="D19" s="25">
        <f>Returns!D17</f>
        <v>1.0325424431675778</v>
      </c>
      <c r="E19" s="45" t="str">
        <f>IF(D19&gt;=C19,"OK","ERROR")</f>
        <v>ERROR</v>
      </c>
    </row>
    <row r="20" spans="2:5" ht="15" customHeight="1" x14ac:dyDescent="0.55000000000000004">
      <c r="B20" s="10" t="s">
        <v>368</v>
      </c>
      <c r="C20" s="46" t="s">
        <v>369</v>
      </c>
      <c r="D20" s="25">
        <f>COUNTIF(DCF!D9:N9,"&gt;0")</f>
        <v>1</v>
      </c>
      <c r="E20" s="45" t="str">
        <f>IF(D20=1,"OK","ERROR")</f>
        <v>OK</v>
      </c>
    </row>
    <row r="21" spans="2:5" ht="15" customHeight="1" x14ac:dyDescent="0.55000000000000004">
      <c r="B21" s="10" t="s">
        <v>370</v>
      </c>
      <c r="C21" s="46" t="s">
        <v>371</v>
      </c>
      <c r="D21" s="25">
        <f>COUNTIF(Cash_Flow!E24:N24,"&gt;0")</f>
        <v>0</v>
      </c>
      <c r="E21" s="45" t="str">
        <f>IF(D21=0,"OK","ERROR")</f>
        <v>OK</v>
      </c>
    </row>
  </sheetData>
  <mergeCells count="1">
    <mergeCell ref="B2:F2"/>
  </mergeCells>
  <conditionalFormatting sqref="E6:E21">
    <cfRule type="expression" dxfId="2" priority="2">
      <formula>E6="OK"</formula>
    </cfRule>
    <cfRule type="expression" dxfId="1" priority="3">
      <formula>E6="ERROR"</formula>
    </cfRule>
    <cfRule type="expression" dxfId="0" priority="4">
      <formula>E6="REVIEW"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48"/>
  <sheetViews>
    <sheetView showGridLines="0" zoomScaleNormal="100" workbookViewId="0"/>
  </sheetViews>
  <sheetFormatPr defaultColWidth="8.68359375" defaultRowHeight="14.4" x14ac:dyDescent="0.55000000000000004"/>
  <cols>
    <col min="1" max="1" width="2" customWidth="1"/>
    <col min="2" max="2" width="36" customWidth="1"/>
    <col min="3" max="3" width="5" customWidth="1"/>
    <col min="4" max="4" width="22" customWidth="1"/>
    <col min="5" max="5" width="4" customWidth="1"/>
    <col min="6" max="6" width="36" customWidth="1"/>
    <col min="7" max="7" width="5" customWidth="1"/>
    <col min="8" max="8" width="22" customWidth="1"/>
  </cols>
  <sheetData>
    <row r="2" spans="2:8" ht="27.75" customHeight="1" x14ac:dyDescent="0.55000000000000004">
      <c r="B2" s="3" t="s">
        <v>372</v>
      </c>
      <c r="C2" s="3"/>
      <c r="D2" s="3"/>
      <c r="E2" s="3"/>
      <c r="F2" s="3"/>
      <c r="G2" s="3"/>
      <c r="H2" s="3"/>
    </row>
    <row r="4" spans="2:8" ht="15" customHeight="1" x14ac:dyDescent="0.55000000000000004">
      <c r="B4" s="2" t="s">
        <v>296</v>
      </c>
      <c r="C4" s="2"/>
      <c r="D4" s="2"/>
      <c r="E4" s="2"/>
      <c r="F4" s="2"/>
      <c r="G4" s="2"/>
      <c r="H4" s="2"/>
    </row>
    <row r="5" spans="2:8" ht="15" customHeight="1" x14ac:dyDescent="0.55000000000000004">
      <c r="B5" s="10" t="s">
        <v>373</v>
      </c>
      <c r="D5" s="37">
        <f>Assumptions!$D$6</f>
        <v>2025</v>
      </c>
    </row>
    <row r="6" spans="2:8" ht="15" customHeight="1" x14ac:dyDescent="0.55000000000000004">
      <c r="B6" s="10" t="s">
        <v>374</v>
      </c>
      <c r="D6" s="37">
        <f>Assumptions!$D$8</f>
        <v>2035</v>
      </c>
    </row>
    <row r="7" spans="2:8" ht="15" customHeight="1" x14ac:dyDescent="0.55000000000000004">
      <c r="B7" s="10" t="s">
        <v>375</v>
      </c>
      <c r="D7" s="47">
        <f>Assumptions!$D$7</f>
        <v>10</v>
      </c>
    </row>
    <row r="8" spans="2:8" ht="15" customHeight="1" x14ac:dyDescent="0.55000000000000004">
      <c r="B8" s="10" t="s">
        <v>81</v>
      </c>
      <c r="D8" s="32">
        <f>Assumptions!$D$11</f>
        <v>200000000</v>
      </c>
    </row>
    <row r="9" spans="2:8" ht="15" customHeight="1" x14ac:dyDescent="0.55000000000000004">
      <c r="B9" s="10" t="s">
        <v>376</v>
      </c>
      <c r="D9" s="32">
        <f>Assumptions!$D$16</f>
        <v>215500000.00000003</v>
      </c>
    </row>
    <row r="10" spans="2:8" ht="15" customHeight="1" x14ac:dyDescent="0.55000000000000004">
      <c r="B10" s="10" t="s">
        <v>141</v>
      </c>
      <c r="D10" s="32">
        <f>Assumptions!$D$48</f>
        <v>107750000.00000001</v>
      </c>
    </row>
    <row r="11" spans="2:8" ht="15" customHeight="1" x14ac:dyDescent="0.55000000000000004">
      <c r="B11" s="10" t="s">
        <v>377</v>
      </c>
      <c r="D11" s="32">
        <f>Assumptions!$D$47</f>
        <v>107750000.00000001</v>
      </c>
    </row>
    <row r="12" spans="2:8" ht="15" customHeight="1" x14ac:dyDescent="0.55000000000000004">
      <c r="B12" s="10" t="s">
        <v>378</v>
      </c>
      <c r="D12" s="34">
        <f>Assumptions!$D$47/Assumptions!$D$16</f>
        <v>0.5</v>
      </c>
    </row>
    <row r="14" spans="2:8" ht="15" customHeight="1" x14ac:dyDescent="0.55000000000000004">
      <c r="B14" s="2" t="s">
        <v>277</v>
      </c>
      <c r="C14" s="2"/>
      <c r="D14" s="2"/>
      <c r="E14" s="2"/>
      <c r="F14" s="2"/>
      <c r="G14" s="2"/>
      <c r="H14" s="2"/>
    </row>
    <row r="15" spans="2:8" ht="15" customHeight="1" x14ac:dyDescent="0.55000000000000004">
      <c r="B15" s="10" t="s">
        <v>279</v>
      </c>
      <c r="D15" s="34">
        <f>Returns!D5</f>
        <v>5.11175480037247E-2</v>
      </c>
    </row>
    <row r="16" spans="2:8" ht="15" customHeight="1" x14ac:dyDescent="0.55000000000000004">
      <c r="B16" s="10" t="s">
        <v>280</v>
      </c>
      <c r="D16" s="34">
        <f>Returns!D6</f>
        <v>3.1276318908279865E-3</v>
      </c>
    </row>
    <row r="17" spans="2:8" ht="15" customHeight="1" x14ac:dyDescent="0.55000000000000004">
      <c r="B17" s="10" t="s">
        <v>170</v>
      </c>
      <c r="D17" s="34">
        <f>Assumptions!$D$68</f>
        <v>8.5000000000000006E-2</v>
      </c>
    </row>
    <row r="18" spans="2:8" ht="15" customHeight="1" x14ac:dyDescent="0.55000000000000004">
      <c r="B18" s="10" t="s">
        <v>379</v>
      </c>
      <c r="D18" s="34">
        <f>Assumptions!$D$71</f>
        <v>0.1</v>
      </c>
    </row>
    <row r="19" spans="2:8" ht="15" customHeight="1" x14ac:dyDescent="0.55000000000000004">
      <c r="B19" s="10" t="s">
        <v>285</v>
      </c>
      <c r="D19" s="32">
        <f>DCF!D17</f>
        <v>-46751450.526107699</v>
      </c>
    </row>
    <row r="20" spans="2:8" ht="15" customHeight="1" x14ac:dyDescent="0.55000000000000004">
      <c r="B20" s="10" t="s">
        <v>286</v>
      </c>
      <c r="D20" s="32">
        <f>DCF!D25</f>
        <v>-60859232.123770498</v>
      </c>
    </row>
    <row r="21" spans="2:8" ht="15" customHeight="1" x14ac:dyDescent="0.55000000000000004">
      <c r="B21" s="10" t="s">
        <v>380</v>
      </c>
      <c r="D21" s="48">
        <f>Returns!D17</f>
        <v>1.0325424431675778</v>
      </c>
    </row>
    <row r="22" spans="2:8" ht="15" customHeight="1" x14ac:dyDescent="0.55000000000000004">
      <c r="B22" s="10" t="s">
        <v>381</v>
      </c>
      <c r="D22" s="37">
        <f>Returns!D19</f>
        <v>10</v>
      </c>
    </row>
    <row r="23" spans="2:8" ht="15" customHeight="1" x14ac:dyDescent="0.55000000000000004">
      <c r="B23" s="10" t="s">
        <v>382</v>
      </c>
      <c r="D23" s="34">
        <f>Returns!D22</f>
        <v>1.7298816705336402E-2</v>
      </c>
    </row>
    <row r="24" spans="2:8" ht="15" customHeight="1" x14ac:dyDescent="0.55000000000000004">
      <c r="B24" s="10" t="s">
        <v>383</v>
      </c>
      <c r="D24" s="34">
        <f>Returns!D23</f>
        <v>6.2819025522041758E-2</v>
      </c>
    </row>
    <row r="26" spans="2:8" ht="15" customHeight="1" x14ac:dyDescent="0.55000000000000004">
      <c r="B26" s="2" t="s">
        <v>296</v>
      </c>
      <c r="C26" s="2"/>
      <c r="D26" s="2"/>
      <c r="E26" s="2"/>
      <c r="F26" s="2"/>
      <c r="G26" s="2"/>
      <c r="H26" s="2"/>
    </row>
    <row r="27" spans="2:8" ht="15" customHeight="1" x14ac:dyDescent="0.55000000000000004">
      <c r="B27" s="10" t="s">
        <v>298</v>
      </c>
      <c r="D27" s="38">
        <f>Returns!D28</f>
        <v>0.13003595439135904</v>
      </c>
    </row>
    <row r="28" spans="2:8" ht="15" customHeight="1" x14ac:dyDescent="0.55000000000000004">
      <c r="B28" s="10" t="s">
        <v>299</v>
      </c>
      <c r="D28" s="38">
        <f>Returns!D29</f>
        <v>1.8799382564260878</v>
      </c>
    </row>
    <row r="29" spans="2:8" ht="15" customHeight="1" x14ac:dyDescent="0.55000000000000004">
      <c r="B29" s="10" t="s">
        <v>384</v>
      </c>
      <c r="D29" s="34">
        <f>Returns!D30</f>
        <v>0.13159567794982616</v>
      </c>
    </row>
    <row r="30" spans="2:8" ht="15" customHeight="1" x14ac:dyDescent="0.55000000000000004">
      <c r="B30" s="10" t="s">
        <v>301</v>
      </c>
      <c r="D30" s="38">
        <f>Returns!D31</f>
        <v>1.7919953596287699</v>
      </c>
    </row>
    <row r="31" spans="2:8" ht="15" customHeight="1" x14ac:dyDescent="0.55000000000000004">
      <c r="B31" s="10" t="s">
        <v>385</v>
      </c>
      <c r="D31" s="38">
        <f>Assumptions!$D$73</f>
        <v>1.3</v>
      </c>
    </row>
    <row r="32" spans="2:8" ht="15" customHeight="1" x14ac:dyDescent="0.55000000000000004">
      <c r="B32" s="10" t="s">
        <v>386</v>
      </c>
      <c r="D32" s="49" t="str">
        <f>Returns!D27 &amp; " / " &amp; TEXT(Assumptions!$D$74,"0.0%")</f>
        <v>0.5 / 60.0%</v>
      </c>
    </row>
    <row r="34" spans="2:8" ht="15" customHeight="1" x14ac:dyDescent="0.55000000000000004">
      <c r="B34" s="2" t="s">
        <v>387</v>
      </c>
      <c r="C34" s="2"/>
      <c r="D34" s="2"/>
      <c r="E34" s="2"/>
      <c r="F34" s="2"/>
      <c r="G34" s="2"/>
      <c r="H34" s="2"/>
    </row>
    <row r="35" spans="2:8" ht="15" customHeight="1" x14ac:dyDescent="0.55000000000000004">
      <c r="B35" s="10" t="s">
        <v>388</v>
      </c>
      <c r="D35" s="37">
        <f>COUNTIF(Audit!E6:E25,"OK")</f>
        <v>10</v>
      </c>
    </row>
    <row r="36" spans="2:8" ht="15" customHeight="1" x14ac:dyDescent="0.55000000000000004">
      <c r="B36" s="10" t="s">
        <v>389</v>
      </c>
      <c r="D36" s="37">
        <f>COUNTIF(Audit!E6:E25,"ERROR")</f>
        <v>6</v>
      </c>
    </row>
    <row r="37" spans="2:8" ht="15" customHeight="1" x14ac:dyDescent="0.55000000000000004">
      <c r="B37" s="10" t="s">
        <v>390</v>
      </c>
      <c r="D37" s="37">
        <f>COUNTIF(Audit!E6:E25,"REVIEW")</f>
        <v>0</v>
      </c>
    </row>
    <row r="39" spans="2:8" ht="15" customHeight="1" x14ac:dyDescent="0.55000000000000004">
      <c r="B39" s="2" t="s">
        <v>391</v>
      </c>
      <c r="C39" s="2"/>
      <c r="D39" s="2"/>
      <c r="E39" s="2"/>
      <c r="F39" s="2"/>
      <c r="G39" s="2"/>
      <c r="H39" s="2"/>
    </row>
    <row r="40" spans="2:8" ht="15" customHeight="1" x14ac:dyDescent="0.55000000000000004">
      <c r="B40" s="10" t="s">
        <v>392</v>
      </c>
    </row>
    <row r="41" spans="2:8" ht="15" customHeight="1" x14ac:dyDescent="0.55000000000000004">
      <c r="B41" s="31" t="s">
        <v>393</v>
      </c>
      <c r="D41" s="50" t="str">
        <f>IF(AND(Returns!D6&gt;=Assumptions!$D$71,DCF!D17&gt;0,Returns!D28&gt;=Assumptions!$D$73,Assumptions!$D$47/Assumptions!$D$16&lt;=Assumptions!$D$74,D36=0),"PROCEED",IF(AND(Returns!D6&gt;=Assumptions!$D$68,DCF!D17&gt;0,D36=0),"CONDITIONAL — Mitigations Required","REJECT — Does Not Meet Criteria"))</f>
        <v>REJECT — Does Not Meet Criteria</v>
      </c>
    </row>
    <row r="43" spans="2:8" ht="15" customHeight="1" x14ac:dyDescent="0.55000000000000004">
      <c r="B43" s="2" t="s">
        <v>394</v>
      </c>
      <c r="C43" s="2"/>
      <c r="D43" s="2"/>
      <c r="E43" s="2"/>
      <c r="F43" s="2"/>
      <c r="G43" s="2"/>
      <c r="H43" s="2"/>
    </row>
    <row r="44" spans="2:8" ht="15" customHeight="1" x14ac:dyDescent="0.55000000000000004">
      <c r="B44" s="10" t="s">
        <v>395</v>
      </c>
    </row>
    <row r="45" spans="2:8" ht="15" customHeight="1" x14ac:dyDescent="0.55000000000000004">
      <c r="B45" s="10" t="s">
        <v>396</v>
      </c>
    </row>
    <row r="46" spans="2:8" ht="15" customHeight="1" x14ac:dyDescent="0.55000000000000004">
      <c r="B46" s="10" t="s">
        <v>397</v>
      </c>
    </row>
    <row r="47" spans="2:8" ht="15" customHeight="1" x14ac:dyDescent="0.55000000000000004">
      <c r="B47" s="10" t="s">
        <v>398</v>
      </c>
    </row>
    <row r="48" spans="2:8" ht="15" customHeight="1" x14ac:dyDescent="0.55000000000000004">
      <c r="B48" s="10" t="s">
        <v>399</v>
      </c>
    </row>
  </sheetData>
  <mergeCells count="7">
    <mergeCell ref="B39:H39"/>
    <mergeCell ref="B43:H43"/>
    <mergeCell ref="B2:H2"/>
    <mergeCell ref="B4:H4"/>
    <mergeCell ref="B14:H14"/>
    <mergeCell ref="B26:H26"/>
    <mergeCell ref="B34:H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Assumptions</vt:lpstr>
      <vt:lpstr>Timeline</vt:lpstr>
      <vt:lpstr>Revenue</vt:lpstr>
      <vt:lpstr>OpEx_CapEx</vt:lpstr>
      <vt:lpstr>Debt</vt:lpstr>
      <vt:lpstr>Tax</vt:lpstr>
      <vt:lpstr>Cash_Flow</vt:lpstr>
      <vt:lpstr>DCF</vt:lpstr>
      <vt:lpstr>Returns</vt:lpstr>
      <vt:lpstr>Scenarios</vt:lpstr>
      <vt:lpstr>Sensitivity</vt:lpstr>
      <vt:lpstr>Audit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Alnahdi</cp:lastModifiedBy>
  <dcterms:modified xsi:type="dcterms:W3CDTF">2026-05-20T00:14:34Z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2026-05-19T23:43:06Z</dcterms:created>
  <dc:creator>openpyxl</dc:creator>
  <dc:description/>
  <dc:language>en-US</dc:language>
  <cp:lastModifiedBy/>
  <dcterms:modified xsi:type="dcterms:W3CDTF">2026-05-19T23:47:45Z</dcterms:modified>
  <cp:revision>0</cp:revision>
  <dc:subject/>
  <dc:title/>
</cp:coreProperties>
</file>