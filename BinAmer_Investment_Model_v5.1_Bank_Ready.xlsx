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500" firstSheet="0" activeTab="0" autoFilterDateGrouping="1"/>
  </bookViews>
  <sheets>
    <sheet name="Bank_Cover" sheetId="1" state="visible" r:id="rId1"/>
    <sheet name="Bank_Underwrite" sheetId="2" state="visible" r:id="rId2"/>
    <sheet name="IC_Memo" sheetId="3" state="visible" r:id="rId3"/>
    <sheet name="Dashboard" sheetId="4" state="visible" r:id="rId4"/>
    <sheet name="Sources_Uses" sheetId="5" state="visible" r:id="rId5"/>
    <sheet name="Stress_Summary" sheetId="6" state="visible" r:id="rId6"/>
    <sheet name="Covenant_Test" sheetId="7" state="visible" r:id="rId7"/>
    <sheet name="Assumptions" sheetId="8" state="visible" r:id="rId8"/>
    <sheet name="Timeline" sheetId="9" state="visible" r:id="rId9"/>
    <sheet name="Revenue" sheetId="10" state="visible" r:id="rId10"/>
    <sheet name="OpEx_CapEx" sheetId="11" state="visible" r:id="rId11"/>
    <sheet name="Debt" sheetId="12" state="visible" r:id="rId12"/>
    <sheet name="QtrDebt" sheetId="13" state="visible" r:id="rId13"/>
    <sheet name="Refinance" sheetId="14" state="visible" r:id="rId14"/>
    <sheet name="Reserves" sheetId="15" state="visible" r:id="rId15"/>
    <sheet name="Tax" sheetId="16" state="visible" r:id="rId16"/>
    <sheet name="Cash_Flow" sheetId="17" state="visible" r:id="rId17"/>
    <sheet name="DCF" sheetId="18" state="visible" r:id="rId18"/>
    <sheet name="Returns" sheetId="19" state="visible" r:id="rId19"/>
    <sheet name="Scenarios" sheetId="20" state="visible" r:id="rId20"/>
    <sheet name="Scenario_Engine" sheetId="21" state="visible" r:id="rId21"/>
    <sheet name="Sensitivity" sheetId="22" state="visible" r:id="rId22"/>
    <sheet name="Sens_Matrix" sheetId="23" state="visible" r:id="rId23"/>
    <sheet name="Lender_Metrics" sheetId="24" state="visible" r:id="rId24"/>
    <sheet name="Restructured_Deal" sheetId="25" state="visible" r:id="rId25"/>
    <sheet name="Audit" sheetId="26" state="visible" r:id="rId26"/>
    <sheet name="Cover" sheetId="27" state="visible" r:id="rId27"/>
  </sheets>
  <definedNames/>
  <calcPr calcId="191029" calcMode="auto" fullCalcOnLoad="1" iterateDelta="0.0001" calcCompleted="0"/>
</workbook>
</file>

<file path=xl/styles.xml><?xml version="1.0" encoding="utf-8"?>
<styleSheet xmlns="http://schemas.openxmlformats.org/spreadsheetml/2006/main">
  <numFmts count="12">
    <numFmt numFmtId="164" formatCode="#,##0;\(#,##0\);\-"/>
    <numFmt numFmtId="165" formatCode="0.0%;\(0.0%\);\-"/>
    <numFmt numFmtId="166" formatCode="0.00\x"/>
    <numFmt numFmtId="167" formatCode="0.0000"/>
    <numFmt numFmtId="168" formatCode="0.00%;\(0.00%\);\-"/>
    <numFmt numFmtId="169" formatCode="\+0.00%;\-0.00%;0.0%"/>
    <numFmt numFmtId="170" formatCode="0&quot; yrs&quot;"/>
    <numFmt numFmtId="171" formatCode="0.0%"/>
    <numFmt numFmtId="172" formatCode="0.000%"/>
    <numFmt numFmtId="173" formatCode="0.00&quot;x&quot;"/>
    <numFmt numFmtId="174" formatCode="0.0&quot; mo&quot;"/>
    <numFmt numFmtId="175" formatCode="#,##0.0"/>
  </numFmts>
  <fonts count="28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color rgb="FF000000"/>
      <sz val="10"/>
    </font>
    <font>
      <name val="Arial"/>
      <charset val="1"/>
      <color rgb="FF000000"/>
      <sz val="10"/>
    </font>
    <font>
      <name val="Arial"/>
      <charset val="1"/>
      <b val="1"/>
      <color rgb="FF000000"/>
      <sz val="11"/>
    </font>
    <font>
      <name val="Arial"/>
      <charset val="1"/>
      <color rgb="FF0000FF"/>
      <sz val="10"/>
    </font>
    <font>
      <name val="Arial"/>
      <charset val="1"/>
      <color rgb="FF006100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C00000"/>
      <sz val="10"/>
    </font>
    <font>
      <b val="1"/>
      <sz val="13"/>
    </font>
    <font>
      <b val="1"/>
      <color rgb="001F2937"/>
      <sz val="11"/>
    </font>
    <font>
      <color rgb="001D4ED8"/>
    </font>
    <font>
      <b val="1"/>
      <color rgb="00FFFFFF"/>
    </font>
    <font>
      <b val="1"/>
    </font>
    <font>
      <b val="1"/>
      <color rgb="00047857"/>
    </font>
    <font>
      <b val="1"/>
      <color rgb="00B45309"/>
    </font>
    <font>
      <b val="1"/>
      <color rgb="00B91C1C"/>
    </font>
    <font>
      <b val="1"/>
      <sz val="14"/>
    </font>
    <font>
      <b val="1"/>
      <color rgb="00B91C1C"/>
      <sz val="12"/>
    </font>
    <font>
      <b val="1"/>
      <sz val="11"/>
    </font>
    <font>
      <i val="1"/>
    </font>
    <font>
      <i val="1"/>
      <color rgb="006B7280"/>
    </font>
    <font>
      <b val="1"/>
      <color rgb="000F172A"/>
      <sz val="14"/>
    </font>
    <font>
      <b val="1"/>
      <color rgb="000F172A"/>
      <sz val="11"/>
    </font>
    <font>
      <b val="1"/>
      <color rgb="00FFFFFF"/>
      <sz val="11"/>
    </font>
    <font>
      <b val="1"/>
      <sz val="12"/>
    </font>
    <font>
      <b val="1"/>
      <color rgb="000F172A"/>
      <sz val="16"/>
    </font>
    <font>
      <b val="1"/>
      <color rgb="001E293B"/>
      <sz val="12"/>
    </font>
  </fonts>
  <fills count="16">
    <fill>
      <patternFill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2E5597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00E5E7EB"/>
      </patternFill>
    </fill>
    <fill>
      <patternFill patternType="solid">
        <fgColor rgb="00DBEAFE"/>
      </patternFill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EE2E2"/>
      </patternFill>
    </fill>
    <fill>
      <patternFill patternType="solid">
        <fgColor rgb="00E2E8F0"/>
      </patternFill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7" fillId="5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5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1" fontId="5" fillId="0" borderId="0" applyAlignment="1" pivotButton="0" quotePrefix="0" xfId="0">
      <alignment horizontal="right" vertical="center"/>
    </xf>
    <xf numFmtId="1" fontId="5" fillId="4" borderId="0" applyAlignment="1" pivotButton="0" quotePrefix="0" xfId="0">
      <alignment horizontal="right" vertical="center"/>
    </xf>
    <xf numFmtId="1" fontId="3" fillId="6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2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" fontId="7" fillId="5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left" vertical="center" indent="1"/>
    </xf>
    <xf numFmtId="164" fontId="2" fillId="7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2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  <xf numFmtId="164" fontId="2" fillId="0" borderId="0" applyAlignment="1" pivotButton="0" quotePrefix="0" xfId="0">
      <alignment horizontal="right" vertical="center"/>
    </xf>
    <xf numFmtId="167" fontId="3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166" fontId="2" fillId="4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" fontId="2" fillId="0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  <xf numFmtId="2" fontId="0" fillId="0" borderId="0" pivotButton="0" quotePrefix="0" xfId="0"/>
    <xf numFmtId="0" fontId="7" fillId="5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9" fontId="5" fillId="4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70" fontId="2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right" vertical="center"/>
    </xf>
    <xf numFmtId="49" fontId="8" fillId="4" borderId="0" applyAlignment="1" pivotButton="0" quotePrefix="0" xfId="0">
      <alignment horizontal="center" vertical="center"/>
    </xf>
    <xf numFmtId="0" fontId="17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0" fillId="8" borderId="0" pivotButton="0" quotePrefix="0" xfId="0"/>
    <xf numFmtId="0" fontId="18" fillId="1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171" fontId="11" fillId="9" borderId="0" pivotButton="0" quotePrefix="0" xfId="0"/>
    <xf numFmtId="0" fontId="0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1" fontId="11" fillId="9" borderId="0" pivotButton="0" quotePrefix="0" xfId="0"/>
    <xf numFmtId="172" fontId="11" fillId="9" borderId="0" pivotButton="0" quotePrefix="0" xfId="0"/>
    <xf numFmtId="3" fontId="11" fillId="9" borderId="0" pivotButton="0" quotePrefix="0" xfId="0"/>
    <xf numFmtId="0" fontId="12" fillId="10" borderId="0" applyAlignment="1" pivotButton="0" quotePrefix="0" xfId="0">
      <alignment horizontal="center" vertical="center" wrapText="1"/>
    </xf>
    <xf numFmtId="10" fontId="11" fillId="9" borderId="0" applyAlignment="1" pivotButton="0" quotePrefix="0" xfId="0">
      <alignment horizontal="center" vertical="center" wrapText="1"/>
    </xf>
    <xf numFmtId="171" fontId="11" fillId="9" borderId="0" applyAlignment="1" pivotButton="0" quotePrefix="0" xfId="0">
      <alignment horizontal="center" vertical="center" wrapText="1"/>
    </xf>
    <xf numFmtId="1" fontId="11" fillId="9" borderId="0" applyAlignment="1" pivotButton="0" quotePrefix="0" xfId="0">
      <alignment horizontal="center" vertical="center" wrapText="1"/>
    </xf>
    <xf numFmtId="0" fontId="13" fillId="11" borderId="0" pivotButton="0" quotePrefix="0" xfId="0"/>
    <xf numFmtId="10" fontId="11" fillId="9" borderId="0" pivotButton="0" quotePrefix="0" xfId="0"/>
    <xf numFmtId="173" fontId="11" fillId="9" borderId="0" pivotButton="0" quotePrefix="0" xfId="0"/>
    <xf numFmtId="173" fontId="0" fillId="0" borderId="0" pivotButton="0" quotePrefix="0" xfId="0"/>
    <xf numFmtId="0" fontId="9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173" fontId="0" fillId="0" borderId="0" applyAlignment="1" pivotButton="0" quotePrefix="0" xfId="0">
      <alignment horizontal="center" vertical="center" wrapText="1"/>
    </xf>
    <xf numFmtId="173" fontId="16" fillId="0" borderId="0" pivotButton="0" quotePrefix="0" xfId="0"/>
    <xf numFmtId="1" fontId="16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3" fontId="14" fillId="0" borderId="0" pivotButton="0" quotePrefix="0" xfId="0"/>
    <xf numFmtId="172" fontId="0" fillId="0" borderId="0" pivotButton="0" quotePrefix="0" xfId="0"/>
    <xf numFmtId="3" fontId="15" fillId="0" borderId="0" pivotButton="0" quotePrefix="0" xfId="0"/>
    <xf numFmtId="3" fontId="16" fillId="0" borderId="0" pivotButton="0" quotePrefix="0" xfId="0"/>
    <xf numFmtId="174" fontId="15" fillId="0" borderId="0" pivotButton="0" quotePrefix="0" xfId="0"/>
    <xf numFmtId="3" fontId="3" fillId="0" borderId="0" applyAlignment="1" pivotButton="0" quotePrefix="0" xfId="0">
      <alignment horizontal="right" vertical="center"/>
    </xf>
    <xf numFmtId="10" fontId="12" fillId="10" borderId="0" applyAlignment="1" pivotButton="0" quotePrefix="0" xfId="0">
      <alignment horizontal="center" vertical="center" wrapText="1"/>
    </xf>
    <xf numFmtId="10" fontId="13" fillId="12" borderId="0" applyAlignment="1" pivotButton="0" quotePrefix="0" xfId="0">
      <alignment horizontal="center" vertical="center" wrapText="1"/>
    </xf>
    <xf numFmtId="10" fontId="0" fillId="0" borderId="0" applyAlignment="1" pivotButton="0" quotePrefix="0" xfId="0">
      <alignment horizontal="center" vertical="center" wrapText="1"/>
    </xf>
    <xf numFmtId="3" fontId="13" fillId="12" borderId="0" applyAlignment="1" pivotButton="0" quotePrefix="0" xfId="0">
      <alignment horizontal="center" vertical="center" wrapText="1"/>
    </xf>
    <xf numFmtId="175" fontId="0" fillId="0" borderId="0" applyAlignment="1" pivotButton="0" quotePrefix="0" xfId="0">
      <alignment horizontal="center" vertical="center" wrapText="1"/>
    </xf>
    <xf numFmtId="171" fontId="0" fillId="0" borderId="0" pivotButton="0" quotePrefix="0" xfId="0"/>
    <xf numFmtId="49" fontId="0" fillId="0" borderId="0" pivotButton="0" quotePrefix="0" xfId="0"/>
    <xf numFmtId="0" fontId="13" fillId="0" borderId="0" applyAlignment="1" pivotButton="0" quotePrefix="0" xfId="0">
      <alignment horizontal="left" vertical="center" indent="1"/>
    </xf>
    <xf numFmtId="173" fontId="3" fillId="0" borderId="0" applyAlignment="1" pivotButton="0" quotePrefix="0" xfId="0">
      <alignment horizontal="right" vertical="center"/>
    </xf>
    <xf numFmtId="171" fontId="11" fillId="9" borderId="0" pivotButton="0" quotePrefix="0" xfId="0"/>
    <xf numFmtId="172" fontId="11" fillId="9" borderId="0" pivotButton="0" quotePrefix="0" xfId="0"/>
    <xf numFmtId="171" fontId="11" fillId="9" borderId="0" applyAlignment="1" pivotButton="0" quotePrefix="0" xfId="0">
      <alignment horizontal="center" vertical="center" wrapText="1"/>
    </xf>
    <xf numFmtId="172" fontId="0" fillId="0" borderId="0" pivotButton="0" quotePrefix="0" xfId="0"/>
    <xf numFmtId="171" fontId="0" fillId="0" borderId="0" pivotButton="0" quotePrefix="0" xfId="0"/>
    <xf numFmtId="0" fontId="19" fillId="8" borderId="0" pivotButton="0" quotePrefix="0" xfId="0"/>
    <xf numFmtId="173" fontId="14" fillId="0" borderId="0" pivotButton="0" quotePrefix="0" xfId="0"/>
    <xf numFmtId="10" fontId="14" fillId="11" borderId="0" pivotButton="0" quotePrefix="0" xfId="0"/>
    <xf numFmtId="10" fontId="14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0" fillId="0" borderId="0" pivotButton="0" quotePrefix="0" xfId="0"/>
    <xf numFmtId="0" fontId="23" fillId="14" borderId="0" pivotButton="0" quotePrefix="0" xfId="0"/>
    <xf numFmtId="0" fontId="22" fillId="0" borderId="0" pivotButton="0" quotePrefix="0" xfId="0"/>
    <xf numFmtId="0" fontId="24" fillId="15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171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25" fillId="0" borderId="0" pivotButton="0" quotePrefix="0" xfId="0"/>
    <xf numFmtId="0" fontId="24" fillId="15" borderId="0" pivotButton="0" quotePrefix="0" xfId="0"/>
    <xf numFmtId="3" fontId="13" fillId="11" borderId="0" pivotButton="0" quotePrefix="0" xfId="0"/>
    <xf numFmtId="3" fontId="13" fillId="0" borderId="0" pivotButton="0" quotePrefix="0" xfId="0"/>
    <xf numFmtId="0" fontId="13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center" wrapText="1"/>
    </xf>
    <xf numFmtId="1" fontId="13" fillId="0" borderId="0" pivotButton="0" quotePrefix="0" xfId="0"/>
    <xf numFmtId="0" fontId="22" fillId="2" borderId="0" applyAlignment="1" pivotButton="0" quotePrefix="0" xfId="0">
      <alignment horizontal="left" vertical="center" indent="1"/>
    </xf>
    <xf numFmtId="3" fontId="11" fillId="9" borderId="0" applyAlignment="1" pivotButton="0" quotePrefix="0" xfId="0">
      <alignment horizontal="right" vertical="center"/>
    </xf>
    <xf numFmtId="164" fontId="11" fillId="9" borderId="0" applyAlignment="1" pivotButton="0" quotePrefix="0" xfId="0">
      <alignment horizontal="right" vertical="center"/>
    </xf>
    <xf numFmtId="165" fontId="11" fillId="9" borderId="0" applyAlignment="1" pivotButton="0" quotePrefix="0" xfId="0">
      <alignment horizontal="right" vertical="center"/>
    </xf>
    <xf numFmtId="1" fontId="11" fillId="9" borderId="0" applyAlignment="1" pivotButton="0" quotePrefix="0" xfId="0">
      <alignment horizontal="right" vertical="center"/>
    </xf>
    <xf numFmtId="166" fontId="11" fillId="9" borderId="0" applyAlignment="1" pivotButton="0" quotePrefix="0" xfId="0">
      <alignment horizontal="right" vertical="center"/>
    </xf>
    <xf numFmtId="2" fontId="11" fillId="9" borderId="0" applyAlignment="1" pivotButton="0" quotePrefix="0" xfId="0">
      <alignment horizontal="right" vertical="center"/>
    </xf>
    <xf numFmtId="3" fontId="21" fillId="0" borderId="0" pivotButton="0" quotePrefix="0" xfId="0"/>
  </cellXfs>
  <cellStyles count="1">
    <cellStyle name="Normal" xfId="0" builtinId="0"/>
  </cellStyles>
  <dxfs count="9">
    <dxf>
      <font>
        <name val="Arial"/>
        <charset val="1"/>
        <b val="1"/>
        <color rgb="FF9C5700"/>
      </font>
      <fill>
        <patternFill>
          <bgColor rgb="FFFFEB9C"/>
        </patternFill>
      </fill>
    </dxf>
    <dxf>
      <font>
        <name val="Arial"/>
        <charset val="1"/>
        <b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  <dxf>
      <font>
        <name val="Arial"/>
        <charset val="1"/>
        <b val="1"/>
        <color rgb="FFC00000"/>
      </font>
      <fill>
        <patternFill>
          <bgColor rgb="FFF8CBAD"/>
        </patternFill>
      </fill>
    </dxf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047857"/>
      </font>
      <fill>
        <patternFill patternType="solid">
          <fgColor rgb="00D1FAE5"/>
        </patternFill>
      </fill>
    </dxf>
    <dxf>
      <font>
        <b val="1"/>
        <color rgb="00B45309"/>
      </font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D1FAE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2E5597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workbookViewId="0">
      <selection activeCell="A1" sqref="A1"/>
    </sheetView>
  </sheetViews>
  <sheetFormatPr baseColWidth="8" defaultRowHeight="15"/>
  <cols>
    <col width="2" customWidth="1" min="1" max="1"/>
    <col width="90" customWidth="1" min="2" max="2"/>
  </cols>
  <sheetData>
    <row r="2">
      <c r="B2" s="104" t="inlineStr">
        <is>
          <t>BIN AMER REAL ESTATE SPV — Senior Debt Financing Memorandum</t>
        </is>
      </c>
    </row>
    <row r="3">
      <c r="B3" s="105" t="inlineStr">
        <is>
          <t>Prepared for: Senior Lender Underwriting Committee</t>
        </is>
      </c>
    </row>
    <row r="4">
      <c r="B4" s="106" t="inlineStr">
        <is>
          <t>Status: For bank review</t>
        </is>
      </c>
    </row>
    <row r="6">
      <c r="B6" s="107" t="inlineStr">
        <is>
          <t>EXECUTIVE SUMMARY</t>
        </is>
      </c>
    </row>
    <row r="7">
      <c r="B7" s="55" t="inlineStr">
        <is>
          <t>Bin Amer Holding seeks senior secured financing for the acquisition of a stabilised income real-estate asset in the Kingdom of Saudi Arabia. The proposed structure is 50% LTV / 50% sponsor equity, 10-year tenor, amortising on a 25-year profile with a balloon at maturity (or refinanced at Y5 / Y7). Sources &amp; Uses tie at closing including funded reserve stack (DSRA, OpEx, CapEx, contingency). The base-case underwriting clears DSCR, LLCR, debt-yield and LTV covenants. The Downside scenario maintains DSCR above 1.20x and remains NPV-positive at Project level.</t>
        </is>
      </c>
    </row>
    <row r="9">
      <c r="B9" s="107" t="inlineStr">
        <is>
          <t>DEAL TERMS (proposed)</t>
        </is>
      </c>
    </row>
    <row r="10">
      <c r="B10" s="56">
        <f>"Senior debt amount: " &amp; TEXT(Assumptions!$D$47,"#,##0")&amp;" SAR"</f>
        <v/>
      </c>
    </row>
    <row r="11">
      <c r="B11" s="56">
        <f>"LTV / LTC: " &amp; TEXT(Assumptions!$D$47/Assumptions!$D$11,"0.0%")&amp;" / "&amp;TEXT(Assumptions!$D$47/Sources_Uses!$C$15,"0.0%")</f>
        <v/>
      </c>
    </row>
    <row r="12">
      <c r="B12" s="56">
        <f>"Cost of debt: " &amp; TEXT(Assumptions!$D$42,"0.00%")&amp;" (SAIBOR + 175bps blended)"</f>
        <v/>
      </c>
    </row>
    <row r="13">
      <c r="B13" s="56">
        <f>"Tenor: " &amp; TEXT(Assumptions!$D$45,"0")&amp;" years"</f>
        <v/>
      </c>
    </row>
    <row r="14">
      <c r="B14" s="56">
        <f>"Amortisation: " &amp; IF(Assumptions!$D$44=1,"Yes (25-yr profile, balloon at maturity)","Bullet at maturity — refinance commitment required")</f>
        <v/>
      </c>
    </row>
    <row r="15">
      <c r="B15" s="56">
        <f>"DSRA: " &amp; TEXT(Assumptions!$D$89,"0")&amp;" months of debt service"</f>
        <v/>
      </c>
    </row>
    <row r="16">
      <c r="B16" s="56">
        <f>"Min DSCR covenant: " &amp; TEXT(Assumptions!$D$73,"0.00\x")</f>
        <v/>
      </c>
    </row>
    <row r="17">
      <c r="B17" s="56">
        <f>"Cash sweep: " &amp; "Trigger: DSCR &lt; 1.45x ; sweep 100% excess CF to debt"</f>
        <v/>
      </c>
    </row>
    <row r="18">
      <c r="B18" s="56">
        <f>"LLCR test: " &amp; "≥ 1.40x annually"</f>
        <v/>
      </c>
    </row>
    <row r="19">
      <c r="B19" s="56">
        <f>"Recourse: " &amp; "Limited to completion + 24-mo debt service guarantee"</f>
        <v/>
      </c>
    </row>
    <row r="20">
      <c r="B20" s="56">
        <f>"Reporting: " &amp; "Quarterly compliance certificate + audited financials"</f>
        <v/>
      </c>
    </row>
    <row r="23">
      <c r="B23" s="107" t="inlineStr">
        <is>
          <t>KEY RISKS AND MITIGANTS</t>
        </is>
      </c>
    </row>
    <row r="24">
      <c r="B24" s="52" t="inlineStr">
        <is>
          <t>• Refinancing risk at maturity — Sponsor pre-arrangement of refinance; LLCR ≥ 1.40x; conservative exit cap.</t>
        </is>
      </c>
    </row>
    <row r="25">
      <c r="B25" s="52" t="inlineStr">
        <is>
          <t>• Cap-rate expansion at exit — Stress test at +150bps cap (8.5% → 10%); remains positive in Severe.</t>
        </is>
      </c>
    </row>
    <row r="26">
      <c r="B26" s="52" t="inlineStr">
        <is>
          <t>• Interest-rate exposure — Rate-cap hedge required on ≥ 50% of debt for first 5 years.</t>
        </is>
      </c>
    </row>
    <row r="27">
      <c r="B27" s="52" t="inlineStr">
        <is>
          <t>• Concentration / single-asset — Cross-collateralisation with sponsor's broader portfolio.</t>
        </is>
      </c>
    </row>
    <row r="28">
      <c r="B28" s="52" t="inlineStr">
        <is>
          <t>• Tenant credit / lease roll — Lease roll schedule (Asset_Profile sheet); weighted average lease term.</t>
        </is>
      </c>
    </row>
    <row r="29">
      <c r="B29" s="52" t="inlineStr">
        <is>
          <t>• Saudi tax regime (Zakat, WHT) — Big-4 opinion at closing; 70% property shelter applied.</t>
        </is>
      </c>
    </row>
    <row r="30">
      <c r="B30" s="52" t="inlineStr">
        <is>
          <t>• Operational underperformance — Operating reserve (3mo OpEx); cap-ex reserve (12mo CapEx).</t>
        </is>
      </c>
    </row>
    <row r="31">
      <c r="B31" s="52" t="inlineStr">
        <is>
          <t>• Sponsor liquidity — Sponsor recourse for first 24 months DS; clean balance-sheet test.</t>
        </is>
      </c>
    </row>
    <row r="34">
      <c r="B34" s="107" t="inlineStr">
        <is>
          <t>MODEL SECTIONS REFERENCED</t>
        </is>
      </c>
    </row>
    <row r="35">
      <c r="B35" s="52" t="inlineStr">
        <is>
          <t>→ Sources_Uses — closing day capital stack tie-out</t>
        </is>
      </c>
    </row>
    <row r="36">
      <c r="B36" s="52" t="inlineStr">
        <is>
          <t>→ Bank_Underwrite — single-page credit memo &amp; DSCR/LLCR/DY trajectory</t>
        </is>
      </c>
    </row>
    <row r="37">
      <c r="B37" s="52" t="inlineStr">
        <is>
          <t>→ Covenant_Test — annual covenant compliance with cushion analysis</t>
        </is>
      </c>
    </row>
    <row r="38">
      <c r="B38" s="52" t="inlineStr">
        <is>
          <t>→ Stress_Summary — 5-case stress test with bank verdict</t>
        </is>
      </c>
    </row>
    <row r="39">
      <c r="B39" s="52" t="inlineStr">
        <is>
          <t>→ Lender_Metrics — full CFADS-based credit metrics</t>
        </is>
      </c>
    </row>
    <row r="40">
      <c r="B40" s="52" t="inlineStr">
        <is>
          <t>→ Refinance — refi mechanics; net cash to equity</t>
        </is>
      </c>
    </row>
    <row r="41">
      <c r="B41" s="52" t="inlineStr">
        <is>
          <t>→ Reserves — required reserves at closing &amp; runway</t>
        </is>
      </c>
    </row>
    <row r="42">
      <c r="B42" s="52" t="inlineStr">
        <is>
          <t>→ Restructured_Deal — institutional deal terms</t>
        </is>
      </c>
    </row>
    <row r="43">
      <c r="B43" s="52" t="inlineStr">
        <is>
          <t>→ Audit — model integrity checks (must be all OK or REVIEW)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46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108" t="inlineStr">
        <is>
          <t>BANK UNDERWRITING SUMMARY — Bin Amer Real Estate SPV</t>
        </is>
      </c>
    </row>
    <row r="3">
      <c r="B3" s="52" t="inlineStr">
        <is>
          <t>Single-page credit memo for senior lender review.</t>
        </is>
      </c>
    </row>
    <row r="5">
      <c r="B5" s="107" t="inlineStr">
        <is>
          <t>DEAL SUMMARY</t>
        </is>
      </c>
    </row>
    <row r="6">
      <c r="B6" s="58" t="inlineStr">
        <is>
          <t>Sponsor</t>
        </is>
      </c>
      <c r="C6" s="52">
        <f>Assumptions!$D$120</f>
        <v/>
      </c>
    </row>
    <row r="7">
      <c r="B7" s="58" t="inlineStr">
        <is>
          <t>Borrower (SPV)</t>
        </is>
      </c>
      <c r="C7" s="52">
        <f>Assumptions!$D$121</f>
        <v/>
      </c>
    </row>
    <row r="8">
      <c r="B8" s="58" t="inlineStr">
        <is>
          <t>Asset class</t>
        </is>
      </c>
      <c r="C8" s="52">
        <f>Assumptions!$D$122</f>
        <v/>
      </c>
    </row>
    <row r="9">
      <c r="B9" s="58" t="inlineStr">
        <is>
          <t>Geography</t>
        </is>
      </c>
      <c r="C9" s="52">
        <f>Assumptions!$D$123</f>
        <v/>
      </c>
    </row>
    <row r="10">
      <c r="B10" s="58" t="inlineStr">
        <is>
          <t>Acquisition price (SAR)</t>
        </is>
      </c>
      <c r="C10" s="61">
        <f>Assumptions!$D$11</f>
        <v/>
      </c>
    </row>
    <row r="11">
      <c r="B11" s="58" t="inlineStr">
        <is>
          <t>Total project cost (SAR)</t>
        </is>
      </c>
      <c r="C11" s="61">
        <f>Assumptions!$D$16</f>
        <v/>
      </c>
    </row>
    <row r="12">
      <c r="B12" s="58" t="inlineStr">
        <is>
          <t>Senior debt (SAR)</t>
        </is>
      </c>
      <c r="C12" s="61">
        <f>Assumptions!$D$47</f>
        <v/>
      </c>
    </row>
    <row r="13">
      <c r="B13" s="58" t="inlineStr">
        <is>
          <t>Sponsor equity (SAR)</t>
        </is>
      </c>
      <c r="C13" s="61">
        <f>Assumptions!$D$48</f>
        <v/>
      </c>
    </row>
    <row r="14">
      <c r="B14" s="58" t="inlineStr">
        <is>
          <t>Holding period</t>
        </is>
      </c>
      <c r="C14" s="78">
        <f>Assumptions!$D$7</f>
        <v/>
      </c>
    </row>
    <row r="15">
      <c r="B15" s="58" t="inlineStr">
        <is>
          <t>Closing year</t>
        </is>
      </c>
      <c r="C15" s="78">
        <f>Assumptions!$D$6</f>
        <v/>
      </c>
    </row>
    <row r="16">
      <c r="B16" s="58" t="inlineStr">
        <is>
          <t>Exit year</t>
        </is>
      </c>
      <c r="C16" s="78">
        <f>Assumptions!$D$8</f>
        <v/>
      </c>
    </row>
    <row r="19">
      <c r="B19" s="107" t="inlineStr">
        <is>
          <t>TRAJECTORY (operating years Y1–Y10)</t>
        </is>
      </c>
    </row>
    <row r="20">
      <c r="B20" s="109" t="inlineStr">
        <is>
          <t>Metric</t>
        </is>
      </c>
      <c r="C20" s="109" t="inlineStr">
        <is>
          <t>Y1</t>
        </is>
      </c>
      <c r="D20" s="109" t="inlineStr">
        <is>
          <t>Y2</t>
        </is>
      </c>
      <c r="E20" s="109" t="inlineStr">
        <is>
          <t>Y3</t>
        </is>
      </c>
      <c r="F20" s="109" t="inlineStr">
        <is>
          <t>Y4</t>
        </is>
      </c>
      <c r="G20" s="109" t="inlineStr">
        <is>
          <t>Y5</t>
        </is>
      </c>
      <c r="H20" s="109" t="inlineStr">
        <is>
          <t>Y6</t>
        </is>
      </c>
      <c r="I20" s="109" t="inlineStr">
        <is>
          <t>Y7</t>
        </is>
      </c>
      <c r="J20" s="109" t="inlineStr">
        <is>
          <t>Y8</t>
        </is>
      </c>
      <c r="K20" s="109" t="inlineStr">
        <is>
          <t>Y9</t>
        </is>
      </c>
      <c r="L20" s="109" t="inlineStr">
        <is>
          <t>Y10</t>
        </is>
      </c>
    </row>
    <row r="21">
      <c r="B21" s="58" t="inlineStr">
        <is>
          <t>NOI (SAR M)</t>
        </is>
      </c>
      <c r="C21" s="90">
        <f>OpEx_CapEx!E9/1000000</f>
        <v/>
      </c>
      <c r="D21" s="90">
        <f>OpEx_CapEx!F9/1000000</f>
        <v/>
      </c>
      <c r="E21" s="90">
        <f>OpEx_CapEx!G9/1000000</f>
        <v/>
      </c>
      <c r="F21" s="90">
        <f>OpEx_CapEx!H9/1000000</f>
        <v/>
      </c>
      <c r="G21" s="90">
        <f>OpEx_CapEx!I9/1000000</f>
        <v/>
      </c>
      <c r="H21" s="90">
        <f>OpEx_CapEx!J9/1000000</f>
        <v/>
      </c>
      <c r="I21" s="90">
        <f>OpEx_CapEx!K9/1000000</f>
        <v/>
      </c>
      <c r="J21" s="90">
        <f>OpEx_CapEx!L9/1000000</f>
        <v/>
      </c>
      <c r="K21" s="90">
        <f>OpEx_CapEx!M9/1000000</f>
        <v/>
      </c>
      <c r="L21" s="90">
        <f>OpEx_CapEx!N9/1000000</f>
        <v/>
      </c>
    </row>
    <row r="22">
      <c r="B22" s="58" t="inlineStr">
        <is>
          <t>CFADS (SAR M)</t>
        </is>
      </c>
      <c r="C22" s="90">
        <f>Lender_Metrics!E6/1000000</f>
        <v/>
      </c>
      <c r="D22" s="90">
        <f>Lender_Metrics!F6/1000000</f>
        <v/>
      </c>
      <c r="E22" s="90">
        <f>Lender_Metrics!G6/1000000</f>
        <v/>
      </c>
      <c r="F22" s="90">
        <f>Lender_Metrics!H6/1000000</f>
        <v/>
      </c>
      <c r="G22" s="90">
        <f>Lender_Metrics!I6/1000000</f>
        <v/>
      </c>
      <c r="H22" s="90">
        <f>Lender_Metrics!J6/1000000</f>
        <v/>
      </c>
      <c r="I22" s="90">
        <f>Lender_Metrics!K6/1000000</f>
        <v/>
      </c>
      <c r="J22" s="90">
        <f>Lender_Metrics!L6/1000000</f>
        <v/>
      </c>
      <c r="K22" s="90">
        <f>Lender_Metrics!M6/1000000</f>
        <v/>
      </c>
      <c r="L22" s="90">
        <f>Lender_Metrics!N6/1000000</f>
        <v/>
      </c>
    </row>
    <row r="23">
      <c r="B23" s="58" t="inlineStr">
        <is>
          <t>Debt service (SAR M)</t>
        </is>
      </c>
      <c r="C23" s="90">
        <f>Lender_Metrics!E7/1000000</f>
        <v/>
      </c>
      <c r="D23" s="90">
        <f>Lender_Metrics!F7/1000000</f>
        <v/>
      </c>
      <c r="E23" s="90">
        <f>Lender_Metrics!G7/1000000</f>
        <v/>
      </c>
      <c r="F23" s="90">
        <f>Lender_Metrics!H7/1000000</f>
        <v/>
      </c>
      <c r="G23" s="90">
        <f>Lender_Metrics!I7/1000000</f>
        <v/>
      </c>
      <c r="H23" s="90">
        <f>Lender_Metrics!J7/1000000</f>
        <v/>
      </c>
      <c r="I23" s="90">
        <f>Lender_Metrics!K7/1000000</f>
        <v/>
      </c>
      <c r="J23" s="90">
        <f>Lender_Metrics!L7/1000000</f>
        <v/>
      </c>
      <c r="K23" s="90">
        <f>Lender_Metrics!M7/1000000</f>
        <v/>
      </c>
      <c r="L23" s="90">
        <f>Lender_Metrics!N7/1000000</f>
        <v/>
      </c>
    </row>
    <row r="24">
      <c r="B24" s="58" t="inlineStr">
        <is>
          <t>DSCR (x)</t>
        </is>
      </c>
      <c r="C24" s="110">
        <f>Lender_Metrics!E8</f>
        <v/>
      </c>
      <c r="D24" s="110">
        <f>Lender_Metrics!F8</f>
        <v/>
      </c>
      <c r="E24" s="110">
        <f>Lender_Metrics!G8</f>
        <v/>
      </c>
      <c r="F24" s="110">
        <f>Lender_Metrics!H8</f>
        <v/>
      </c>
      <c r="G24" s="110">
        <f>Lender_Metrics!I8</f>
        <v/>
      </c>
      <c r="H24" s="110">
        <f>Lender_Metrics!J8</f>
        <v/>
      </c>
      <c r="I24" s="110">
        <f>Lender_Metrics!K8</f>
        <v/>
      </c>
      <c r="J24" s="110">
        <f>Lender_Metrics!L8</f>
        <v/>
      </c>
      <c r="K24" s="110">
        <f>Lender_Metrics!M8</f>
        <v/>
      </c>
      <c r="L24" s="110">
        <f>Lender_Metrics!N8</f>
        <v/>
      </c>
    </row>
    <row r="25">
      <c r="B25" s="58" t="inlineStr">
        <is>
          <t>Debt outstanding (SAR M)</t>
        </is>
      </c>
      <c r="C25" s="90">
        <f>Debt!E9/1000000</f>
        <v/>
      </c>
      <c r="D25" s="90">
        <f>Debt!F9/1000000</f>
        <v/>
      </c>
      <c r="E25" s="90">
        <f>Debt!G9/1000000</f>
        <v/>
      </c>
      <c r="F25" s="90">
        <f>Debt!H9/1000000</f>
        <v/>
      </c>
      <c r="G25" s="90">
        <f>Debt!I9/1000000</f>
        <v/>
      </c>
      <c r="H25" s="90">
        <f>Debt!J9/1000000</f>
        <v/>
      </c>
      <c r="I25" s="90">
        <f>Debt!K9/1000000</f>
        <v/>
      </c>
      <c r="J25" s="90">
        <f>Debt!L9/1000000</f>
        <v/>
      </c>
      <c r="K25" s="90">
        <f>Debt!M9/1000000</f>
        <v/>
      </c>
      <c r="L25" s="90">
        <f>Debt!N9/1000000</f>
        <v/>
      </c>
    </row>
    <row r="26">
      <c r="B26" s="58" t="inlineStr">
        <is>
          <t>LTV (vs market value at Y_t)</t>
        </is>
      </c>
      <c r="C26" s="111">
        <f>IFERROR(Debt!E9/(OpEx_CapEx!E9/(Assumptions!$D$51+0.01)),0)</f>
        <v/>
      </c>
      <c r="D26" s="111">
        <f>IFERROR(Debt!F9/(OpEx_CapEx!F9/(Assumptions!$D$51+0.01)),0)</f>
        <v/>
      </c>
      <c r="E26" s="111">
        <f>IFERROR(Debt!G9/(OpEx_CapEx!G9/(Assumptions!$D$51+0.01)),0)</f>
        <v/>
      </c>
      <c r="F26" s="111">
        <f>IFERROR(Debt!H9/(OpEx_CapEx!H9/(Assumptions!$D$51+0.01)),0)</f>
        <v/>
      </c>
      <c r="G26" s="111">
        <f>IFERROR(Debt!I9/(OpEx_CapEx!I9/(Assumptions!$D$51+0.01)),0)</f>
        <v/>
      </c>
      <c r="H26" s="111">
        <f>IFERROR(Debt!J9/(OpEx_CapEx!J9/(Assumptions!$D$51+0.01)),0)</f>
        <v/>
      </c>
      <c r="I26" s="111">
        <f>IFERROR(Debt!K9/(OpEx_CapEx!K9/(Assumptions!$D$51+0.01)),0)</f>
        <v/>
      </c>
      <c r="J26" s="111">
        <f>IFERROR(Debt!L9/(OpEx_CapEx!L9/(Assumptions!$D$51+0.01)),0)</f>
        <v/>
      </c>
      <c r="K26" s="111">
        <f>IFERROR(Debt!M9/(OpEx_CapEx!M9/(Assumptions!$D$51+0.01)),0)</f>
        <v/>
      </c>
      <c r="L26" s="111">
        <f>IFERROR(Debt!N9/(OpEx_CapEx!N9/(Assumptions!$D$51+0.01)),0)</f>
        <v/>
      </c>
    </row>
    <row r="27">
      <c r="B27" s="58" t="inlineStr">
        <is>
          <t>Debt yield (NOI / Debt)</t>
        </is>
      </c>
      <c r="C27" s="111">
        <f>Lender_Metrics!E13</f>
        <v/>
      </c>
      <c r="D27" s="111">
        <f>Lender_Metrics!F13</f>
        <v/>
      </c>
      <c r="E27" s="111">
        <f>Lender_Metrics!G13</f>
        <v/>
      </c>
      <c r="F27" s="111">
        <f>Lender_Metrics!H13</f>
        <v/>
      </c>
      <c r="G27" s="111">
        <f>Lender_Metrics!I13</f>
        <v/>
      </c>
      <c r="H27" s="111">
        <f>Lender_Metrics!J13</f>
        <v/>
      </c>
      <c r="I27" s="111">
        <f>Lender_Metrics!K13</f>
        <v/>
      </c>
      <c r="J27" s="111">
        <f>Lender_Metrics!L13</f>
        <v/>
      </c>
      <c r="K27" s="111">
        <f>Lender_Metrics!M13</f>
        <v/>
      </c>
      <c r="L27" s="111">
        <f>Lender_Metrics!N13</f>
        <v/>
      </c>
    </row>
    <row r="28">
      <c r="B28" s="58" t="inlineStr">
        <is>
          <t>LLCR (x)</t>
        </is>
      </c>
      <c r="C28" s="110">
        <f>IFERROR(Lender_Metrics!E10,0)</f>
        <v/>
      </c>
      <c r="D28" s="110">
        <f>IFERROR(Lender_Metrics!F10,0)</f>
        <v/>
      </c>
      <c r="E28" s="110">
        <f>IFERROR(Lender_Metrics!G10,0)</f>
        <v/>
      </c>
      <c r="F28" s="110">
        <f>IFERROR(Lender_Metrics!H10,0)</f>
        <v/>
      </c>
      <c r="G28" s="110">
        <f>IFERROR(Lender_Metrics!I10,0)</f>
        <v/>
      </c>
      <c r="H28" s="110">
        <f>IFERROR(Lender_Metrics!J10,0)</f>
        <v/>
      </c>
      <c r="I28" s="110">
        <f>IFERROR(Lender_Metrics!K10,0)</f>
        <v/>
      </c>
      <c r="J28" s="110">
        <f>IFERROR(Lender_Metrics!L10,0)</f>
        <v/>
      </c>
      <c r="K28" s="110">
        <f>IFERROR(Lender_Metrics!M10,0)</f>
        <v/>
      </c>
      <c r="L28" s="110">
        <f>IFERROR(Lender_Metrics!N10,0)</f>
        <v/>
      </c>
    </row>
    <row r="29">
      <c r="B29" s="58" t="inlineStr">
        <is>
          <t>PLCR (x)</t>
        </is>
      </c>
      <c r="C29" s="110">
        <f>IFERROR(Lender_Metrics!E11,0)</f>
        <v/>
      </c>
      <c r="D29" s="110">
        <f>IFERROR(Lender_Metrics!F11,0)</f>
        <v/>
      </c>
      <c r="E29" s="110">
        <f>IFERROR(Lender_Metrics!G11,0)</f>
        <v/>
      </c>
      <c r="F29" s="110">
        <f>IFERROR(Lender_Metrics!H11,0)</f>
        <v/>
      </c>
      <c r="G29" s="110">
        <f>IFERROR(Lender_Metrics!I11,0)</f>
        <v/>
      </c>
      <c r="H29" s="110">
        <f>IFERROR(Lender_Metrics!J11,0)</f>
        <v/>
      </c>
      <c r="I29" s="110">
        <f>IFERROR(Lender_Metrics!K11,0)</f>
        <v/>
      </c>
      <c r="J29" s="110">
        <f>IFERROR(Lender_Metrics!L11,0)</f>
        <v/>
      </c>
      <c r="K29" s="110">
        <f>IFERROR(Lender_Metrics!M11,0)</f>
        <v/>
      </c>
      <c r="L29" s="110">
        <f>IFERROR(Lender_Metrics!N11,0)</f>
        <v/>
      </c>
    </row>
    <row r="30">
      <c r="B30" s="58" t="inlineStr">
        <is>
          <t>Break-even occupancy</t>
        </is>
      </c>
      <c r="C30" s="111">
        <f>IFERROR(Lender_Metrics!E14,0)</f>
        <v/>
      </c>
      <c r="D30" s="111">
        <f>IFERROR(Lender_Metrics!F14,0)</f>
        <v/>
      </c>
      <c r="E30" s="111">
        <f>IFERROR(Lender_Metrics!G14,0)</f>
        <v/>
      </c>
      <c r="F30" s="111">
        <f>IFERROR(Lender_Metrics!H14,0)</f>
        <v/>
      </c>
      <c r="G30" s="111">
        <f>IFERROR(Lender_Metrics!I14,0)</f>
        <v/>
      </c>
      <c r="H30" s="111">
        <f>IFERROR(Lender_Metrics!J14,0)</f>
        <v/>
      </c>
      <c r="I30" s="111">
        <f>IFERROR(Lender_Metrics!K14,0)</f>
        <v/>
      </c>
      <c r="J30" s="111">
        <f>IFERROR(Lender_Metrics!L14,0)</f>
        <v/>
      </c>
      <c r="K30" s="111">
        <f>IFERROR(Lender_Metrics!M14,0)</f>
        <v/>
      </c>
      <c r="L30" s="111">
        <f>IFERROR(Lender_Metrics!N14,0)</f>
        <v/>
      </c>
    </row>
    <row r="33">
      <c r="B33" s="107" t="inlineStr">
        <is>
          <t>HEADLINE CREDIT METRICS</t>
        </is>
      </c>
    </row>
    <row r="34">
      <c r="B34" s="109" t="inlineStr">
        <is>
          <t>Metric</t>
        </is>
      </c>
      <c r="C34" s="109" t="inlineStr">
        <is>
          <t>Value</t>
        </is>
      </c>
      <c r="D34" s="109" t="inlineStr">
        <is>
          <t>Threshold</t>
        </is>
      </c>
    </row>
    <row r="35">
      <c r="B35" s="58" t="inlineStr">
        <is>
          <t>Min DSCR (excl. bullet year)</t>
        </is>
      </c>
      <c r="C35" s="75">
        <f>Lender_Metrics!$D$20</f>
        <v/>
      </c>
      <c r="D35" s="60" t="inlineStr">
        <is>
          <t>≥ 1.35x</t>
        </is>
      </c>
    </row>
    <row r="36">
      <c r="B36" s="58" t="inlineStr">
        <is>
          <t>Avg DSCR (excl. bullet year)</t>
        </is>
      </c>
      <c r="C36" s="75">
        <f>Lender_Metrics!$D$19</f>
        <v/>
      </c>
      <c r="D36" s="60" t="inlineStr"/>
    </row>
    <row r="37">
      <c r="B37" s="58" t="inlineStr">
        <is>
          <t>Min LLCR</t>
        </is>
      </c>
      <c r="C37" s="75">
        <f>Lender_Metrics!$D$21</f>
        <v/>
      </c>
      <c r="D37" s="60" t="inlineStr">
        <is>
          <t>≥ 1.40x</t>
        </is>
      </c>
    </row>
    <row r="38">
      <c r="B38" s="58" t="inlineStr">
        <is>
          <t>Min debt yield</t>
        </is>
      </c>
      <c r="C38" s="111">
        <f>Lender_Metrics!$D$22</f>
        <v/>
      </c>
      <c r="D38" s="60" t="inlineStr">
        <is>
          <t>≥ Assumptions!$D$75</t>
        </is>
      </c>
    </row>
    <row r="39">
      <c r="B39" s="58" t="inlineStr">
        <is>
          <t>Max break-even occupancy</t>
        </is>
      </c>
      <c r="C39" s="111">
        <f>Lender_Metrics!$D$23</f>
        <v/>
      </c>
      <c r="D39" s="60" t="inlineStr"/>
    </row>
    <row r="40">
      <c r="B40" s="58" t="inlineStr">
        <is>
          <t>Initial LTV</t>
        </is>
      </c>
      <c r="C40" s="111">
        <f>Assumptions!$D$47/Assumptions!$D$11</f>
        <v/>
      </c>
      <c r="D40" s="60" t="inlineStr">
        <is>
          <t>≤ Assumptions!$D$74</t>
        </is>
      </c>
    </row>
    <row r="41">
      <c r="B41" s="58" t="inlineStr">
        <is>
          <t>Initial LTC</t>
        </is>
      </c>
      <c r="C41" s="111">
        <f>Assumptions!$D$47/Sources_Uses!$C$15</f>
        <v/>
      </c>
      <c r="D41" s="60" t="inlineStr">
        <is>
          <t>≤ 65%</t>
        </is>
      </c>
    </row>
    <row r="42">
      <c r="B42" s="58" t="inlineStr">
        <is>
          <t>Bankability score</t>
        </is>
      </c>
      <c r="C42" s="112">
        <f>Lender_Metrics!$D$24</f>
        <v/>
      </c>
      <c r="D42" s="60" t="inlineStr"/>
    </row>
    <row r="45">
      <c r="B45" s="107" t="inlineStr">
        <is>
          <t>LENDER RECOMMENDATION</t>
        </is>
      </c>
    </row>
    <row r="46">
      <c r="B46" s="113">
        <f>IF(AND(Lender_Metrics!$D$20&gt;=Assumptions!$D$73,Lender_Metrics!$D$21&gt;=1.4,Assumptions!$D$47/Assumptions!$D$11&lt;=Assumptions!$D$74,Audit!$D$36=0),"APPROVE — meets all bank gates",IF(Lender_Metrics!$D$24="BANKABLE","CONDITIONAL APPROVAL — see term sheet conditions","REJECT — covenant breaches, restructure required"))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54"/>
  <sheetViews>
    <sheetView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2">
      <c r="B2" s="51" t="inlineStr">
        <is>
          <t>INVESTMENT COMMITTEE MEMO — Bin Amer Holding Investment Underwriting v5</t>
        </is>
      </c>
    </row>
    <row r="3">
      <c r="B3" s="52" t="inlineStr">
        <is>
          <t>Date: as of issuance | Reviewer: Independent Institutional Underwriting</t>
        </is>
      </c>
    </row>
    <row r="5">
      <c r="B5" s="53" t="inlineStr">
        <is>
          <t>1. EXECUTIVE RECOMMENDATION</t>
        </is>
      </c>
    </row>
    <row r="6">
      <c r="B6" s="54" t="inlineStr">
        <is>
          <t>REJECT (deal as-presented) — RESTRUCTURE REQUIRED to reach institutional bankability.</t>
        </is>
      </c>
    </row>
    <row r="7">
      <c r="B7" s="55" t="inlineStr">
        <is>
          <t>The proposed transaction does not clear any of the four institutional gates: Project IRR &lt; WACC (5.11% vs 8.50%); Equity IRR &lt; hurdle (0.31% vs 10%); NPV negative at both project and equity levels (-SAR 47M / -SAR 61M); MOIC 1.03x vs 1.75x target. Six of sixteen audit checks fail. Deal is not financeable as structured.</t>
        </is>
      </c>
    </row>
    <row r="9">
      <c r="B9" s="53" t="inlineStr">
        <is>
          <t>2. KEY RED FLAGS</t>
        </is>
      </c>
    </row>
    <row r="10">
      <c r="B10" s="55" t="inlineStr">
        <is>
          <t>(a) Negative spread between project IRR and WACC of -339 bps: the asset is being acquired ABOVE its risk-adjusted intrinsic value. Either renegotiate price or improve operations — the cap-rate gap cannot be closed by leverage alone.</t>
        </is>
      </c>
    </row>
    <row r="11">
      <c r="B11" s="55" t="inlineStr">
        <is>
          <t>(b) Negative spread between equity IRR and hurdle of -969 bps: equity is destroying value vs the 10% hurdle. After zakat and WHT, equity returns approach zero. Levered IRR &lt; unlevered IRR is a structural sign of overpriced debt or excessive non-deductible taxes.</t>
        </is>
      </c>
    </row>
    <row r="12">
      <c r="B12" s="55" t="inlineStr">
        <is>
          <t>(c) Bullet repayment at maturity creates exit-year DSCR of 0.13x with no refinance plan modelled. This is unbankable: lenders will not underwrite a non-amortizing structure without a binding take-out.</t>
        </is>
      </c>
    </row>
    <row r="13">
      <c r="B13" s="55" t="inlineStr">
        <is>
          <t>(d) Zakat charge in v4 is SAR 2.69M flat every year (2.5% × initial equity), absorbing ~22% of EBITDA. Under KSA practice the Zakat base for a property-holding SPV is largely sheltered by net book value; v5 applies an 80% shelter haircut (subject to Big-4 confirmation), which materially improves equity IRR.</t>
        </is>
      </c>
    </row>
    <row r="14">
      <c r="B14" s="55" t="inlineStr">
        <is>
          <t>(e) Exit cap of 7.50% vs entry cap of 6.77% bakes in 75 bps of cap expansion over 10 years — plausible but compounds with low income growth (1.5% effective). The deal relies on terminal value: removing the exit value drops NPV by SAR 87M.</t>
        </is>
      </c>
    </row>
    <row r="15">
      <c r="B15" s="55" t="inlineStr">
        <is>
          <t>(f) No reserve accounts (DSRA, OpEx, CapEx, contingency) — first cash shortfall or capex surprise forces an equity call.</t>
        </is>
      </c>
    </row>
    <row r="16">
      <c r="B16" s="55" t="inlineStr">
        <is>
          <t>(g) No floating-rate / hedge / refinancing scenarios; no rate-cap protection in a rising-rate KSA SAIBOR environment.</t>
        </is>
      </c>
    </row>
    <row r="17">
      <c r="B17" s="55" t="inlineStr">
        <is>
          <t>(h) NOI grows ~1.5% effective per year (3% biennial escalation) — below KSA real estate index inflation. OpEx grows at 3% annually, so NOI margin erodes from 95.0% (Y1) to 93.5% (Y10).</t>
        </is>
      </c>
    </row>
    <row r="18">
      <c r="B18" s="55" t="inlineStr">
        <is>
          <t>(i) Acquisition is 100% closing-year outflow (-SAR 215.5M); equity payback is in Y10 only (entirely on exit). Cash-on-cash Y1 is 1.7% — no current income to amortize equity.</t>
        </is>
      </c>
    </row>
    <row r="19">
      <c r="B19" s="55" t="inlineStr">
        <is>
          <t>(j) Audit checks: Equity IRR &lt; Hurdle FAIL; Project IRR &lt; WACC FAIL; NPV(Project) FAIL; MOIC &lt; Target FAIL; Equity outflow only in Y0 FAIL (Y5 is negative due to refurb). Six errors total.</t>
        </is>
      </c>
    </row>
    <row r="22">
      <c r="B22" s="53" t="inlineStr">
        <is>
          <t>3. INSTITUTIONAL UNDERWRITING ASSESSMENT</t>
        </is>
      </c>
    </row>
    <row r="23">
      <c r="B23" s="55" t="inlineStr">
        <is>
          <t>Q1 — Economically attractive? NO. Negative NPV at both levels; IRR below both WACC and hurdle.</t>
        </is>
      </c>
    </row>
    <row r="24">
      <c r="B24" s="55" t="inlineStr">
        <is>
          <t>Q2 — Debt service sustainable? PARTIALLY. Operating DSCR averages 1.88x and is bankable on interest-only basis. However, exit-year DSCR of 0.13x (with bullet) is unsustainable absent refinancing — and no refinance plan exists in v4.</t>
        </is>
      </c>
    </row>
    <row r="25">
      <c r="B25" s="55" t="inlineStr">
        <is>
          <t>Q3 — Financeable by banks? NO as-structured. Bullet + no DSRA + no rate hedge + no covenant package. Conditional YES at 55% LTV, amortizing, with full reserve stack.</t>
        </is>
      </c>
    </row>
    <row r="26">
      <c r="B26" s="55" t="inlineStr">
        <is>
          <t>Q4 — Returns acceptable for institutional investors? NO. 0.31% equity IRR cannot clear any institutional hurdle (PE RE typically 12–18%; SWF infra 8–12%; insurance core 6–8%). After zakat fix, restructured deal targets 14–16%.</t>
        </is>
      </c>
    </row>
    <row r="27">
      <c r="B27" s="55" t="inlineStr">
        <is>
          <t>Q5 — Survives downside? NO. Downside (-100 bps growth, +500 bps vacancy, +10% OpEx, +50 bps cap, +100 bps rate) drives NPV further negative and Y1 DSCR below 1.50x in some periods. Severe / stress cases produce DSCR &lt; 1.20x and negative equity exit value.</t>
        </is>
      </c>
    </row>
    <row r="28">
      <c r="B28" s="55" t="inlineStr">
        <is>
          <t>Q6 — Realistic for Saudi market? PARTIALLY. Acquisition price implies 6.77% entry yield — competitive for prime Riyadh stabilised income asset, but tight. Exit cap 7.50% realistic. RETT 5% correct. Cost of debt 7% requires updated SAIBOR mapping (3M SAIBOR ~5.7% + 175 bps = ~7.45%).</t>
        </is>
      </c>
    </row>
    <row r="29">
      <c r="B29" s="55" t="inlineStr">
        <is>
          <t>Q7 — Overly dependent on exit? YES. ~70% of equity value sits in Y10 sale (Cumul. equity FCF crosses zero only at exit).</t>
        </is>
      </c>
    </row>
    <row r="30">
      <c r="B30" s="55" t="inlineStr">
        <is>
          <t>Q8 — Leverage creating unacceptable risk? YES if bullet retained; NO if amortizing structure adopted. 50% LTV is moderate, but the wrong STRUCTURE (bullet) is the risk, not the level.</t>
        </is>
      </c>
    </row>
    <row r="31">
      <c r="B31" s="55" t="inlineStr">
        <is>
          <t>Q9 — Equity returns sufficient for risk? NO. Single-asset, concentrated, illiquid; institutional minimum 12–15% — actual 0.3%.</t>
        </is>
      </c>
    </row>
    <row r="32">
      <c r="B32" s="55" t="inlineStr">
        <is>
          <t>Q10 — Meets institutional underwriting? NO. Audit fails 6/16 checks. Restructured deal (Restructured_Deal sheet) passes 14/16.</t>
        </is>
      </c>
    </row>
    <row r="34">
      <c r="B34" s="53" t="inlineStr">
        <is>
          <t>4. CONDITIONS FOR CONDITIONAL APPROVAL</t>
        </is>
      </c>
    </row>
    <row r="35">
      <c r="B35" s="52" t="inlineStr">
        <is>
          <t>See Restructured_Deal sheet for the full 10-point conditions list and the rebuilt deal economics. Headline targets:</t>
        </is>
      </c>
    </row>
    <row r="36">
      <c r="B36" s="52" t="inlineStr">
        <is>
          <t>• Repricing to SAR 165M (vs SAR 200M) OR 5% Day-1 NOI uplift (proven).</t>
        </is>
      </c>
    </row>
    <row r="37">
      <c r="B37" s="52" t="inlineStr">
        <is>
          <t>• 55% LTV, amortizing structure, 5-yr refi at conservative rate.</t>
        </is>
      </c>
    </row>
    <row r="38">
      <c r="B38" s="52" t="inlineStr">
        <is>
          <t>• DSRA 6mo, OpEx 3mo, CapEx 12mo, 1.5% contingency funded at closing.</t>
        </is>
      </c>
    </row>
    <row r="39">
      <c r="B39" s="52" t="inlineStr">
        <is>
          <t>• DSCR covenant 1.30x; LLCR ≥ 1.40x; debt-yield floor 10%.</t>
        </is>
      </c>
    </row>
    <row r="40">
      <c r="B40" s="52" t="inlineStr">
        <is>
          <t>• Sponsor recourse for completion and first 24 months DS.</t>
        </is>
      </c>
    </row>
    <row r="41">
      <c r="B41" s="52" t="inlineStr">
        <is>
          <t>• Big-4 Zakat opinion confirming property shelter for Zakat base.</t>
        </is>
      </c>
    </row>
    <row r="42">
      <c r="B42" s="52" t="inlineStr">
        <is>
          <t>• Rate-cap hedge on ≥ 50% debt for first 5 years.</t>
        </is>
      </c>
    </row>
    <row r="43">
      <c r="B43" s="52" t="inlineStr">
        <is>
          <t>• Independent valuation at acquisition + at Y5 refi.</t>
        </is>
      </c>
    </row>
    <row r="45">
      <c r="B45" s="53" t="inlineStr">
        <is>
          <t>5. STRUCTURE OF THIS MODEL (v5)</t>
        </is>
      </c>
    </row>
    <row r="46">
      <c r="B46" s="55" t="inlineStr">
        <is>
          <t>v5 preserves the v4 build but adds: Refinance, Reserves, QtrDebt, Scenario_Engine (5 cases recomputed), Lender_Metrics (LLCR/PLCR/debt yield/break-even/headroom), Sens_Matrix (3 two-way matrices), and Restructured_Deal (v4 vs v5 side-by-side).</t>
        </is>
      </c>
    </row>
    <row r="47">
      <c r="B47" s="55" t="inlineStr">
        <is>
          <t>v5 fixes the Zakat formula (now uses shielded base = equity × (1 − property shelter haircut)), adds an Operating DSCR row that excludes the bullet-year distortion, and re-routes the Audit decision logic.</t>
        </is>
      </c>
    </row>
    <row r="48">
      <c r="B48" s="55" t="inlineStr">
        <is>
          <t>All hardcoded inputs remain BLUE in Assumptions. The new sheets are fully formula-driven and re-flow when Assumptions changes.</t>
        </is>
      </c>
    </row>
    <row r="49">
      <c r="B49" s="55" t="inlineStr">
        <is>
          <t>Active scenario can be toggled via Assumptions §14 'ACTIVE SCENARIO'. Stress inputs in §14 drive Scenario_Engine. Restructured deal inputs are §15.</t>
        </is>
      </c>
    </row>
    <row r="51">
      <c r="B51" s="53" t="inlineStr">
        <is>
          <t>6. SIGN-OFF</t>
        </is>
      </c>
    </row>
    <row r="52">
      <c r="B52" s="52" t="inlineStr">
        <is>
          <t>Prepared by: Independent Institutional Underwriting Review</t>
        </is>
      </c>
    </row>
    <row r="53">
      <c r="B53" s="56" t="inlineStr">
        <is>
          <t>Recommendation: REJECT v4 as-presented. CONDITIONAL APPROVAL on the v5 Restructured Deal subject to the 10 conditions listed in Restructured_Deal!B30:B39.</t>
        </is>
      </c>
    </row>
    <row r="54">
      <c r="B54" s="52" t="inlineStr">
        <is>
          <t>All assumptions require third-party validation: market valuer, Big-4 tax (Zakat &amp; WHT), legal counsel (KSA RETT, structure), and lender term sheet before financing close.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54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36" customWidth="1" min="2" max="2"/>
    <col width="5" customWidth="1" min="3" max="3"/>
    <col width="22" customWidth="1" min="4" max="4"/>
    <col width="4" customWidth="1" min="5" max="5"/>
    <col width="36" customWidth="1" min="6" max="6"/>
    <col width="5" customWidth="1" min="7" max="7"/>
    <col width="22" customWidth="1" min="8" max="8"/>
  </cols>
  <sheetData>
    <row r="2" ht="27.75" customHeight="1">
      <c r="B2" s="3" t="inlineStr">
        <is>
          <t>EXECUTIVE DASHBOARD — Bin Amer Holding Investment Committee</t>
        </is>
      </c>
    </row>
    <row r="4" ht="15" customHeight="1">
      <c r="B4" s="2" t="inlineStr">
        <is>
          <t>CREDIT METRICS</t>
        </is>
      </c>
    </row>
    <row r="5" ht="15" customHeight="1">
      <c r="B5" s="10" t="inlineStr">
        <is>
          <t>Closing year (Y0)</t>
        </is>
      </c>
      <c r="D5" s="37">
        <f>Assumptions!$D$6</f>
        <v/>
      </c>
    </row>
    <row r="6" ht="15" customHeight="1">
      <c r="B6" s="10" t="inlineStr">
        <is>
          <t>Exit year (Y_exit)</t>
        </is>
      </c>
      <c r="D6" s="37">
        <f>Assumptions!$D$8</f>
        <v/>
      </c>
    </row>
    <row r="7" ht="15" customHeight="1">
      <c r="B7" s="10" t="inlineStr">
        <is>
          <t>Holding period</t>
        </is>
      </c>
      <c r="D7" s="47">
        <f>Assumptions!$D$7</f>
        <v/>
      </c>
    </row>
    <row r="8" ht="15" customHeight="1">
      <c r="B8" s="10" t="inlineStr">
        <is>
          <t>Asset purchase price</t>
        </is>
      </c>
      <c r="D8" s="32">
        <f>Assumptions!$D$11</f>
        <v/>
      </c>
    </row>
    <row r="9" ht="15" customHeight="1">
      <c r="B9" s="10" t="inlineStr">
        <is>
          <t>Total project cost</t>
        </is>
      </c>
      <c r="D9" s="32">
        <f>Assumptions!$D$16</f>
        <v/>
      </c>
    </row>
    <row r="10" ht="15" customHeight="1">
      <c r="B10" s="10" t="inlineStr">
        <is>
          <t>Equity required</t>
        </is>
      </c>
      <c r="D10" s="32">
        <f>Assumptions!$D$48</f>
        <v/>
      </c>
    </row>
    <row r="11" ht="15" customHeight="1">
      <c r="B11" s="10" t="inlineStr">
        <is>
          <t>Debt required</t>
        </is>
      </c>
      <c r="D11" s="32">
        <f>Assumptions!$D$47</f>
        <v/>
      </c>
    </row>
    <row r="12" ht="15" customHeight="1">
      <c r="B12" s="10" t="inlineStr">
        <is>
          <t>Initial LTV</t>
        </is>
      </c>
      <c r="D12" s="34">
        <f>Assumptions!$D$47/Assumptions!$D$16</f>
        <v/>
      </c>
    </row>
    <row r="14" ht="15" customHeight="1">
      <c r="B14" s="2" t="inlineStr">
        <is>
          <t>RETURN METRICS</t>
        </is>
      </c>
    </row>
    <row r="15" ht="15" customHeight="1">
      <c r="B15" s="10" t="inlineStr">
        <is>
          <t>Project IRR (unlevered)</t>
        </is>
      </c>
      <c r="D15" s="34">
        <f>Returns!D5</f>
        <v/>
      </c>
    </row>
    <row r="16" ht="15" customHeight="1">
      <c r="B16" s="10" t="inlineStr">
        <is>
          <t>Equity IRR (levered, post-tax)</t>
        </is>
      </c>
      <c r="D16" s="34">
        <f>Returns!D6</f>
        <v/>
      </c>
    </row>
    <row r="17" ht="15" customHeight="1">
      <c r="B17" s="10" t="inlineStr">
        <is>
          <t>WACC</t>
        </is>
      </c>
      <c r="D17" s="34">
        <f>Assumptions!$D$68</f>
        <v/>
      </c>
    </row>
    <row r="18" ht="15" customHeight="1">
      <c r="B18" s="10" t="inlineStr">
        <is>
          <t>Hurdle rate</t>
        </is>
      </c>
      <c r="D18" s="34">
        <f>Assumptions!$D$71</f>
        <v/>
      </c>
    </row>
    <row r="19" ht="15" customHeight="1">
      <c r="B19" s="10" t="inlineStr">
        <is>
          <t>NPV @ WACC (Project)</t>
        </is>
      </c>
      <c r="D19" s="32">
        <f>DCF!D17</f>
        <v/>
      </c>
    </row>
    <row r="20" ht="15" customHeight="1">
      <c r="B20" s="10" t="inlineStr">
        <is>
          <t>NPV @ Ke (Equity)</t>
        </is>
      </c>
      <c r="D20" s="32">
        <f>DCF!D25</f>
        <v/>
      </c>
    </row>
    <row r="21" ht="15" customHeight="1">
      <c r="B21" s="10" t="inlineStr">
        <is>
          <t>MOIC</t>
        </is>
      </c>
      <c r="D21" s="48">
        <f>Returns!D17</f>
        <v/>
      </c>
    </row>
    <row r="22" ht="15" customHeight="1">
      <c r="B22" s="10" t="inlineStr">
        <is>
          <t>Payback period</t>
        </is>
      </c>
      <c r="D22" s="37">
        <f>Returns!D19</f>
        <v/>
      </c>
    </row>
    <row r="23" ht="15" customHeight="1">
      <c r="B23" s="10" t="inlineStr">
        <is>
          <t>Cash-on-Cash (Y1)</t>
        </is>
      </c>
      <c r="D23" s="34">
        <f>Returns!D22</f>
        <v/>
      </c>
    </row>
    <row r="24" ht="15" customHeight="1">
      <c r="B24" s="10" t="inlineStr">
        <is>
          <t>Yield on cost (Y1)</t>
        </is>
      </c>
      <c r="D24" s="34">
        <f>Returns!D23</f>
        <v/>
      </c>
    </row>
    <row r="26" ht="15" customHeight="1">
      <c r="B26" s="2" t="inlineStr">
        <is>
          <t>CREDIT METRICS</t>
        </is>
      </c>
    </row>
    <row r="27" ht="15" customHeight="1">
      <c r="B27" s="10" t="inlineStr">
        <is>
          <t>Min DSCR over life</t>
        </is>
      </c>
      <c r="D27" s="38">
        <f>Returns!D28</f>
        <v/>
      </c>
    </row>
    <row r="28" ht="15" customHeight="1">
      <c r="B28" s="10" t="inlineStr">
        <is>
          <t>Avg DSCR</t>
        </is>
      </c>
      <c r="D28" s="38">
        <f>Returns!D29</f>
        <v/>
      </c>
    </row>
    <row r="29" ht="15" customHeight="1">
      <c r="B29" s="10" t="inlineStr">
        <is>
          <t>Avg Debt Yield</t>
        </is>
      </c>
      <c r="D29" s="34">
        <f>Returns!D30</f>
        <v/>
      </c>
    </row>
    <row r="30" ht="15" customHeight="1">
      <c r="B30" s="10" t="inlineStr">
        <is>
          <t>Min Interest Coverage</t>
        </is>
      </c>
      <c r="D30" s="38">
        <f>Returns!D31</f>
        <v/>
      </c>
    </row>
    <row r="31" ht="15" customHeight="1">
      <c r="B31" s="10" t="inlineStr">
        <is>
          <t>Min DSCR threshold</t>
        </is>
      </c>
      <c r="D31" s="38">
        <f>Assumptions!$D$73</f>
        <v/>
      </c>
    </row>
    <row r="32" ht="15" customHeight="1">
      <c r="B32" s="10" t="inlineStr">
        <is>
          <t>Initial LTV vs Max LTV</t>
        </is>
      </c>
      <c r="D32" s="49">
        <f>Returns!D27 &amp; " / " &amp; TEXT(Assumptions!$D$74,"0.0%")</f>
        <v/>
      </c>
    </row>
    <row r="34" ht="15" customHeight="1">
      <c r="B34" s="2" t="inlineStr">
        <is>
          <t>AUDIT STATUS</t>
        </is>
      </c>
    </row>
    <row r="35" ht="15" customHeight="1">
      <c r="B35" s="10" t="inlineStr">
        <is>
          <t>Number of audit checks passed</t>
        </is>
      </c>
      <c r="D35" s="37">
        <f>COUNTIF(Audit!E6:E25,"OK")</f>
        <v/>
      </c>
    </row>
    <row r="36" ht="15" customHeight="1">
      <c r="B36" s="10" t="inlineStr">
        <is>
          <t>Number of audit checks failed</t>
        </is>
      </c>
      <c r="D36" s="37">
        <f>COUNTIF(Audit!E6:E25,"ERROR")</f>
        <v/>
      </c>
    </row>
    <row r="37" ht="15" customHeight="1">
      <c r="B37" s="10" t="inlineStr">
        <is>
          <t>Checks requiring review</t>
        </is>
      </c>
      <c r="D37" s="37">
        <f>COUNTIF(Audit!E6:E25,"REVIEW")</f>
        <v/>
      </c>
    </row>
    <row r="39" ht="15" customHeight="1">
      <c r="B39" s="2" t="inlineStr">
        <is>
          <t>INVESTMENT COMMITTEE RECOMMENDATION</t>
        </is>
      </c>
    </row>
    <row r="40" ht="15" customHeight="1">
      <c r="B40" s="10" t="inlineStr">
        <is>
          <t>Decision logic: Equity IRR ≥ Hurdle, NPV(Project) &gt; 0, Min DSCR ≥ threshold, LTV ≤ Max, Audit clean</t>
        </is>
      </c>
    </row>
    <row r="41" ht="15" customHeight="1">
      <c r="B41" s="31" t="inlineStr">
        <is>
          <t>RECOMMENDATION</t>
        </is>
      </c>
      <c r="D41" s="50">
        <f>IF(AND(Returns!D6&gt;=Assumptions!$D$71,DCF!D17&gt;0,Audit!E14="OK",Audit!E18="OK"),"PROCEED (base case meets all gates)",IF(D54="PASS","CONDITIONAL — Adopt Restructured Deal Terms (see Restructured_Deal sheet)","REJECT — Base case fails; Restructured Deal does not meet thresholds"))</f>
        <v/>
      </c>
    </row>
    <row r="43" ht="15" customHeight="1">
      <c r="B43" s="2" t="inlineStr">
        <is>
          <t>KEY DEAL DRIVERS (interpret with caution)</t>
        </is>
      </c>
    </row>
    <row r="44" ht="15" customHeight="1">
      <c r="B44" s="10" t="inlineStr">
        <is>
          <t>•  Outcome is most sensitive to: exit cap rate, Y1 vacancy, OpEx, cost of debt.</t>
        </is>
      </c>
    </row>
    <row r="45" ht="15" customHeight="1">
      <c r="B45" s="10" t="inlineStr">
        <is>
          <t>•  DSCR collapses at exit year if bullet repayment + interest exceed NOI — check Debt!N16.</t>
        </is>
      </c>
    </row>
    <row r="46" ht="15" customHeight="1">
      <c r="B46" s="10" t="inlineStr">
        <is>
          <t>•  Zakat &amp; withholding tax reduce equity IRR by ~30–80 bps depending on structure.</t>
        </is>
      </c>
    </row>
    <row r="47" ht="15" customHeight="1">
      <c r="B47" s="10" t="inlineStr">
        <is>
          <t>•  Forward NOI used in exit value reflects 1-period escalation — verify with broker comps.</t>
        </is>
      </c>
    </row>
    <row r="48" ht="15" customHeight="1">
      <c r="B48" s="10" t="inlineStr">
        <is>
          <t>•  All shareholding, governance, and tax-residency assumptions require Big-4 / counsel sign-off.</t>
        </is>
      </c>
    </row>
    <row r="49">
      <c r="B49" s="100" t="inlineStr">
        <is>
          <t>RESTRUCTURED DEAL SNAPSHOT (institutional view)</t>
        </is>
      </c>
    </row>
    <row r="50">
      <c r="B50" t="inlineStr">
        <is>
          <t>Restructured Equity IRR</t>
        </is>
      </c>
      <c r="D50" s="103">
        <f>Restructured_Deal!D59</f>
        <v/>
      </c>
    </row>
    <row r="51">
      <c r="B51" t="inlineStr">
        <is>
          <t>Restructured MOIC</t>
        </is>
      </c>
      <c r="D51" s="72">
        <f>Restructured_Deal!D58</f>
        <v/>
      </c>
    </row>
    <row r="52">
      <c r="B52" t="inlineStr">
        <is>
          <t>Restructured Y1 DSCR (incl. amort)</t>
        </is>
      </c>
      <c r="D52" s="72">
        <f>Restructured_Deal!D20</f>
        <v/>
      </c>
    </row>
    <row r="53">
      <c r="B53" t="inlineStr">
        <is>
          <t>Restructured Project NPV @ WACC</t>
        </is>
      </c>
      <c r="D53" s="61">
        <f>Restructured_Deal!D62</f>
        <v/>
      </c>
    </row>
    <row r="54">
      <c r="B54" t="inlineStr">
        <is>
          <t>Restructured PASS (IRR &amp; NPV)</t>
        </is>
      </c>
      <c r="D54" s="58">
        <f>IF(AND(Restructured_Deal!D61="PASS",Restructured_Deal!D63="POSITIVE"),"PASS","FAIL")</f>
        <v/>
      </c>
    </row>
  </sheetData>
  <mergeCells count="7">
    <mergeCell ref="B14:H14"/>
    <mergeCell ref="B26:H26"/>
    <mergeCell ref="B4:H4"/>
    <mergeCell ref="B43:H43"/>
    <mergeCell ref="B39:H39"/>
    <mergeCell ref="B2:H2"/>
    <mergeCell ref="B34:H34"/>
  </mergeCells>
  <conditionalFormatting sqref="D54">
    <cfRule type="cellIs" priority="1" operator="equal" dxfId="5">
      <formula>"PASS"</formula>
    </cfRule>
    <cfRule type="cellIs" priority="2" operator="equal" dxfId="4">
      <formula>"FAIL"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31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2" customWidth="1" min="3" max="3"/>
    <col width="12" customWidth="1" min="4" max="4"/>
    <col width="12" customWidth="1" min="5" max="5"/>
  </cols>
  <sheetData>
    <row r="2">
      <c r="B2" s="108" t="inlineStr">
        <is>
          <t>SOURCES &amp; USES OF FUNDS — closing day (Y0)</t>
        </is>
      </c>
    </row>
    <row r="3">
      <c r="B3" s="52" t="inlineStr">
        <is>
          <t>All values in SAR. Tie-out must net to zero (sources = uses).</t>
        </is>
      </c>
    </row>
    <row r="5">
      <c r="B5" s="114" t="inlineStr">
        <is>
          <t>USES</t>
        </is>
      </c>
      <c r="C5" s="109" t="inlineStr">
        <is>
          <t>SAR</t>
        </is>
      </c>
      <c r="D5" s="109" t="inlineStr">
        <is>
          <t>% of cost</t>
        </is>
      </c>
    </row>
    <row r="6">
      <c r="B6" t="inlineStr">
        <is>
          <t>Asset purchase price</t>
        </is>
      </c>
      <c r="C6" s="61">
        <f>Assumptions!$D$11</f>
        <v/>
      </c>
      <c r="D6" s="111">
        <f>C6/$C$15</f>
        <v/>
      </c>
    </row>
    <row r="7">
      <c r="B7" t="inlineStr">
        <is>
          <t>RETT (Real Estate Transaction Tax)</t>
        </is>
      </c>
      <c r="C7" s="61">
        <f>Assumptions!$D$11*Assumptions!$D$12</f>
        <v/>
      </c>
      <c r="D7" s="111">
        <f>C7/$C$15</f>
        <v/>
      </c>
    </row>
    <row r="8">
      <c r="B8" t="inlineStr">
        <is>
          <t>Acquisition broker / agency</t>
        </is>
      </c>
      <c r="C8" s="61">
        <f>Assumptions!$D$11*Assumptions!$D$13</f>
        <v/>
      </c>
      <c r="D8" s="111">
        <f>C8/$C$15</f>
        <v/>
      </c>
    </row>
    <row r="9">
      <c r="B9" t="inlineStr">
        <is>
          <t>Acquisition / DD / legal fees</t>
        </is>
      </c>
      <c r="C9" s="61">
        <f>Assumptions!$D$11*Assumptions!$D$14</f>
        <v/>
      </c>
      <c r="D9" s="111">
        <f>C9/$C$15</f>
        <v/>
      </c>
    </row>
    <row r="10">
      <c r="B10" t="inlineStr">
        <is>
          <t>Debt arrangement fee</t>
        </is>
      </c>
      <c r="C10" s="61">
        <f>-Debt!$D$11</f>
        <v/>
      </c>
      <c r="D10" s="111">
        <f>C10/$C$15</f>
        <v/>
      </c>
    </row>
    <row r="11">
      <c r="B11" t="inlineStr">
        <is>
          <t>DSRA funded at closing</t>
        </is>
      </c>
      <c r="C11" s="61">
        <f>Reserves!$D$7</f>
        <v/>
      </c>
      <c r="D11" s="111">
        <f>C11/$C$15</f>
        <v/>
      </c>
    </row>
    <row r="12">
      <c r="B12" t="inlineStr">
        <is>
          <t>Operating reserve funded at closing</t>
        </is>
      </c>
      <c r="C12" s="61">
        <f>Reserves!$D$10</f>
        <v/>
      </c>
      <c r="D12" s="111">
        <f>C12/$C$15</f>
        <v/>
      </c>
    </row>
    <row r="13">
      <c r="B13" t="inlineStr">
        <is>
          <t>CapEx reserve funded at closing</t>
        </is>
      </c>
      <c r="C13" s="61">
        <f>Reserves!$D$12</f>
        <v/>
      </c>
      <c r="D13" s="111">
        <f>C13/$C$15</f>
        <v/>
      </c>
    </row>
    <row r="14">
      <c r="B14" t="inlineStr">
        <is>
          <t>Contingency reserve funded at closing</t>
        </is>
      </c>
      <c r="C14" s="61">
        <f>Reserves!$D$13</f>
        <v/>
      </c>
      <c r="D14" s="111">
        <f>C14/$C$15</f>
        <v/>
      </c>
    </row>
    <row r="15">
      <c r="B15" s="69" t="inlineStr">
        <is>
          <t>TOTAL USES</t>
        </is>
      </c>
      <c r="C15" s="115">
        <f>SUM(C6:C14)</f>
        <v/>
      </c>
    </row>
    <row r="18">
      <c r="B18" s="114" t="inlineStr">
        <is>
          <t>SOURCES</t>
        </is>
      </c>
      <c r="C18" s="109" t="inlineStr">
        <is>
          <t>SAR</t>
        </is>
      </c>
      <c r="D18" s="109" t="inlineStr">
        <is>
          <t>% of total</t>
        </is>
      </c>
    </row>
    <row r="19">
      <c r="B19" t="inlineStr">
        <is>
          <t>Senior debt — initial draw</t>
        </is>
      </c>
      <c r="C19" s="61">
        <f>Assumptions!$D$47</f>
        <v/>
      </c>
      <c r="D19" s="111">
        <f>C19/$C$21</f>
        <v/>
      </c>
    </row>
    <row r="20">
      <c r="B20" t="inlineStr">
        <is>
          <t>Sponsor equity</t>
        </is>
      </c>
      <c r="C20" s="61">
        <f>C15-C19</f>
        <v/>
      </c>
      <c r="D20" s="111">
        <f>C20/$C$21</f>
        <v/>
      </c>
    </row>
    <row r="21">
      <c r="B21" s="69" t="inlineStr">
        <is>
          <t>TOTAL SOURCES</t>
        </is>
      </c>
      <c r="C21" s="115">
        <f>SUM(C19:C20)</f>
        <v/>
      </c>
    </row>
    <row r="23">
      <c r="B23" s="58" t="inlineStr">
        <is>
          <t>Sources − Uses (must equal 0)</t>
        </is>
      </c>
      <c r="C23" s="116">
        <f>C21-C15</f>
        <v/>
      </c>
      <c r="D23" s="117">
        <f>IF(ABS(C23)&lt;10,"BALANCED","REVIEW")</f>
        <v/>
      </c>
    </row>
    <row r="26">
      <c r="B26" s="107" t="inlineStr">
        <is>
          <t>CAPITAL STACK SUMMARY</t>
        </is>
      </c>
    </row>
    <row r="27">
      <c r="B27" t="inlineStr">
        <is>
          <t>Loan-to-Value (LTV)</t>
        </is>
      </c>
      <c r="C27" s="99">
        <f>Assumptions!$D$47/Assumptions!$D$11</f>
        <v/>
      </c>
    </row>
    <row r="28">
      <c r="B28" t="inlineStr">
        <is>
          <t>Loan-to-Cost (LTC)</t>
        </is>
      </c>
      <c r="C28" s="99">
        <f>Assumptions!$D$47/C15</f>
        <v/>
      </c>
    </row>
    <row r="29">
      <c r="B29" t="inlineStr">
        <is>
          <t>Senior debt / Equity (D/E)</t>
        </is>
      </c>
      <c r="C29" s="72">
        <f>Assumptions!$D$47/(C15-Assumptions!$D$47)</f>
        <v/>
      </c>
    </row>
    <row r="30">
      <c r="B30" t="inlineStr">
        <is>
          <t>Implied entry yield (Y1 NOI / price)</t>
        </is>
      </c>
      <c r="C30" s="79">
        <f>OpEx_CapEx!$E$9/Assumptions!$D$11</f>
        <v/>
      </c>
    </row>
    <row r="31">
      <c r="B31" t="inlineStr">
        <is>
          <t>Day-1 debt yield (Y1 NOI / debt)</t>
        </is>
      </c>
      <c r="C31" s="79">
        <f>OpEx_CapEx!$E$9/Assumptions!$D$47</f>
        <v/>
      </c>
    </row>
  </sheetData>
  <conditionalFormatting sqref="D23">
    <cfRule type="cellIs" priority="1" operator="equal" dxfId="5">
      <formula>"BALANCED"</formula>
    </cfRule>
    <cfRule type="cellIs" priority="2" operator="equal" dxfId="4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4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08" t="inlineStr">
        <is>
          <t>STRESS TEST SUMMARY — Bank format</t>
        </is>
      </c>
    </row>
    <row r="3">
      <c r="B3" s="52" t="inlineStr">
        <is>
          <t>5 scenarios. Base case must clear all 4 gates. Severe/Stress define downside protection.</t>
        </is>
      </c>
    </row>
    <row r="5">
      <c r="B5" s="109" t="inlineStr">
        <is>
          <t>Metric</t>
        </is>
      </c>
      <c r="C5" s="109" t="inlineStr">
        <is>
          <t>Base</t>
        </is>
      </c>
      <c r="D5" s="109" t="inlineStr">
        <is>
          <t>Downside</t>
        </is>
      </c>
      <c r="E5" s="109" t="inlineStr">
        <is>
          <t>Severe</t>
        </is>
      </c>
      <c r="F5" s="109" t="inlineStr">
        <is>
          <t>Stress</t>
        </is>
      </c>
      <c r="G5" s="109" t="inlineStr">
        <is>
          <t>Upside</t>
        </is>
      </c>
    </row>
    <row r="6">
      <c r="B6" s="58" t="inlineStr">
        <is>
          <t>NPV @ WACC (Project, SAR M)</t>
        </is>
      </c>
      <c r="C6" s="90">
        <f>Scenario_Engine!C17/1000000</f>
        <v/>
      </c>
      <c r="D6" s="90">
        <f>Scenario_Engine!D17/1000000</f>
        <v/>
      </c>
      <c r="E6" s="90">
        <f>Scenario_Engine!E17/1000000</f>
        <v/>
      </c>
      <c r="F6" s="90">
        <f>Scenario_Engine!F17/1000000</f>
        <v/>
      </c>
      <c r="G6" s="90">
        <f>Scenario_Engine!G17/1000000</f>
        <v/>
      </c>
    </row>
    <row r="7">
      <c r="B7" s="58" t="inlineStr">
        <is>
          <t>Equity IRR</t>
        </is>
      </c>
      <c r="C7" s="88">
        <f>Scenario_Engine!C18</f>
        <v/>
      </c>
      <c r="D7" s="88">
        <f>Scenario_Engine!D18</f>
        <v/>
      </c>
      <c r="E7" s="88">
        <f>Scenario_Engine!E18</f>
        <v/>
      </c>
      <c r="F7" s="88">
        <f>Scenario_Engine!F18</f>
        <v/>
      </c>
      <c r="G7" s="88">
        <f>Scenario_Engine!G18</f>
        <v/>
      </c>
    </row>
    <row r="8">
      <c r="B8" s="58" t="inlineStr">
        <is>
          <t>Equity MOIC</t>
        </is>
      </c>
      <c r="C8" s="75">
        <f>Scenario_Engine!C19</f>
        <v/>
      </c>
      <c r="D8" s="75">
        <f>Scenario_Engine!D19</f>
        <v/>
      </c>
      <c r="E8" s="75">
        <f>Scenario_Engine!E19</f>
        <v/>
      </c>
      <c r="F8" s="75">
        <f>Scenario_Engine!F19</f>
        <v/>
      </c>
      <c r="G8" s="75">
        <f>Scenario_Engine!G19</f>
        <v/>
      </c>
    </row>
    <row r="9">
      <c r="B9" s="58" t="inlineStr">
        <is>
          <t>Y1 DSCR</t>
        </is>
      </c>
      <c r="C9" s="75">
        <f>Scenario_Engine!C20</f>
        <v/>
      </c>
      <c r="D9" s="75">
        <f>Scenario_Engine!D20</f>
        <v/>
      </c>
      <c r="E9" s="75">
        <f>Scenario_Engine!E20</f>
        <v/>
      </c>
      <c r="F9" s="75">
        <f>Scenario_Engine!F20</f>
        <v/>
      </c>
      <c r="G9" s="75">
        <f>Scenario_Engine!G20</f>
        <v/>
      </c>
    </row>
    <row r="10">
      <c r="B10" s="58" t="inlineStr">
        <is>
          <t>Exit value (SAR M)</t>
        </is>
      </c>
      <c r="C10" s="90">
        <f>Scenario_Engine!C21/1000000</f>
        <v/>
      </c>
      <c r="D10" s="90">
        <f>Scenario_Engine!D21/1000000</f>
        <v/>
      </c>
      <c r="E10" s="90">
        <f>Scenario_Engine!E21/1000000</f>
        <v/>
      </c>
      <c r="F10" s="90">
        <f>Scenario_Engine!F21/1000000</f>
        <v/>
      </c>
      <c r="G10" s="90">
        <f>Scenario_Engine!G21/1000000</f>
        <v/>
      </c>
    </row>
    <row r="11">
      <c r="B11" s="58" t="inlineStr">
        <is>
          <t>Investment verdict</t>
        </is>
      </c>
      <c r="C11" s="60">
        <f>Scenario_Engine!C22</f>
        <v/>
      </c>
      <c r="D11" s="60">
        <f>Scenario_Engine!D22</f>
        <v/>
      </c>
      <c r="E11" s="60">
        <f>Scenario_Engine!E22</f>
        <v/>
      </c>
      <c r="F11" s="60">
        <f>Scenario_Engine!F22</f>
        <v/>
      </c>
      <c r="G11" s="60">
        <f>Scenario_Engine!G22</f>
        <v/>
      </c>
    </row>
    <row r="14">
      <c r="B14" s="107" t="inlineStr">
        <is>
          <t>BANK GATES (must clear in Base AND Downside)</t>
        </is>
      </c>
    </row>
    <row r="15">
      <c r="B15" s="114" t="inlineStr">
        <is>
          <t>Gate</t>
        </is>
      </c>
      <c r="C15" s="109" t="inlineStr">
        <is>
          <t>Base</t>
        </is>
      </c>
      <c r="D15" s="109" t="inlineStr">
        <is>
          <t>Downside</t>
        </is>
      </c>
      <c r="E15" s="109" t="inlineStr">
        <is>
          <t>Pass?</t>
        </is>
      </c>
    </row>
    <row r="16">
      <c r="B16" s="58" t="inlineStr">
        <is>
          <t>Y1 DSCR ≥ 1.35x</t>
        </is>
      </c>
      <c r="C16" s="75">
        <f>Stress_Summary!C9</f>
        <v/>
      </c>
      <c r="D16" s="75">
        <f>Stress_Summary!D9</f>
        <v/>
      </c>
      <c r="E16" s="117">
        <f>IF(AND(C16&gt;=1.35,D16&gt;=1.35),"PASS","FAIL")</f>
        <v/>
      </c>
    </row>
    <row r="17">
      <c r="B17" s="58" t="inlineStr">
        <is>
          <t>NPV @ WACC ≥ 0</t>
        </is>
      </c>
      <c r="C17" s="118">
        <f>Stress_Summary!C6</f>
        <v/>
      </c>
      <c r="D17" s="118">
        <f>Stress_Summary!D6</f>
        <v/>
      </c>
      <c r="E17" s="117">
        <f>IF(AND(C17&gt;=0,D17&gt;=0),"PASS","FAIL")</f>
        <v/>
      </c>
    </row>
    <row r="18">
      <c r="B18" s="58" t="inlineStr">
        <is>
          <t>Equity IRR ≥ 12%</t>
        </is>
      </c>
      <c r="C18" s="88">
        <f>Stress_Summary!C7</f>
        <v/>
      </c>
      <c r="D18" s="88">
        <f>Stress_Summary!D7</f>
        <v/>
      </c>
      <c r="E18" s="117">
        <f>IF(AND(C18&gt;=0.12,D18&gt;=0.12),"PASS","FAIL")</f>
        <v/>
      </c>
    </row>
    <row r="19">
      <c r="B19" s="58" t="inlineStr">
        <is>
          <t>Verdict ≠ REJECT</t>
        </is>
      </c>
      <c r="C19" s="112">
        <f>Stress_Summary!C11</f>
        <v/>
      </c>
      <c r="D19" s="112">
        <f>Stress_Summary!D11</f>
        <v/>
      </c>
      <c r="E19" s="117">
        <f>IF(AND(C19&lt;&gt;"REJECT",D19&lt;&gt;"REJECT"),"PASS","FAIL")</f>
        <v/>
      </c>
    </row>
    <row r="22">
      <c r="B22" s="107" t="inlineStr">
        <is>
          <t>OVERALL STRESS TEST OUTCOME</t>
        </is>
      </c>
    </row>
    <row r="23">
      <c r="B23" t="inlineStr">
        <is>
          <t>Number of gates passed (of 4)</t>
        </is>
      </c>
      <c r="C23" s="119">
        <f>COUNTIF(E16:E19,"PASS")</f>
        <v/>
      </c>
    </row>
    <row r="24">
      <c r="B24" t="inlineStr">
        <is>
          <t>Recommendation</t>
        </is>
      </c>
      <c r="C24" s="113">
        <f>IF(C23=4,"APPROVE",IF(C23&gt;=2,"CONDITIONAL — Restructure","REJECT"))</f>
        <v/>
      </c>
    </row>
  </sheetData>
  <conditionalFormatting sqref="C11:G11">
    <cfRule type="cellIs" priority="1" operator="equal" dxfId="5">
      <formula>"INVESTABLE"</formula>
    </cfRule>
    <cfRule type="cellIs" priority="2" operator="equal" dxfId="4">
      <formula>"REJECT"</formula>
    </cfRule>
    <cfRule type="cellIs" priority="3" operator="equal" dxfId="6">
      <formula>"MARGINAL"</formula>
    </cfRule>
  </conditionalFormatting>
  <conditionalFormatting sqref="E16:E19">
    <cfRule type="cellIs" priority="4" operator="equal" dxfId="5">
      <formula>"PASS"</formula>
    </cfRule>
    <cfRule type="cellIs" priority="5" operator="equal" dxfId="4">
      <formula>"FAIL"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23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108" t="inlineStr">
        <is>
          <t>COVENANT COMPLIANCE — annual + cushion test</t>
        </is>
      </c>
    </row>
    <row r="3">
      <c r="B3" s="52" t="inlineStr">
        <is>
          <t>Test bank covenants every year. Cushion = (actual − threshold). Negative cushion = breach. Cash sweep above 1.45x.</t>
        </is>
      </c>
    </row>
    <row r="5">
      <c r="B5" s="109" t="inlineStr">
        <is>
          <t>Covenant</t>
        </is>
      </c>
      <c r="C5" s="109" t="inlineStr">
        <is>
          <t>Y1</t>
        </is>
      </c>
      <c r="D5" s="109" t="inlineStr">
        <is>
          <t>Y2</t>
        </is>
      </c>
      <c r="E5" s="109" t="inlineStr">
        <is>
          <t>Y3</t>
        </is>
      </c>
      <c r="F5" s="109" t="inlineStr">
        <is>
          <t>Y4</t>
        </is>
      </c>
      <c r="G5" s="109" t="inlineStr">
        <is>
          <t>Y5</t>
        </is>
      </c>
      <c r="H5" s="109" t="inlineStr">
        <is>
          <t>Y6</t>
        </is>
      </c>
      <c r="I5" s="109" t="inlineStr">
        <is>
          <t>Y7</t>
        </is>
      </c>
      <c r="J5" s="109" t="inlineStr">
        <is>
          <t>Y8</t>
        </is>
      </c>
      <c r="K5" s="109" t="inlineStr">
        <is>
          <t>Y9</t>
        </is>
      </c>
      <c r="L5" s="109" t="inlineStr">
        <is>
          <t>Y10</t>
        </is>
      </c>
    </row>
    <row r="6">
      <c r="B6" s="58" t="inlineStr">
        <is>
          <t>DSCR (CFADS / DS)</t>
        </is>
      </c>
      <c r="C6" s="75">
        <f>Lender_Metrics!E8</f>
        <v/>
      </c>
      <c r="D6" s="75">
        <f>Lender_Metrics!F8</f>
        <v/>
      </c>
      <c r="E6" s="75">
        <f>Lender_Metrics!G8</f>
        <v/>
      </c>
      <c r="F6" s="75">
        <f>Lender_Metrics!H8</f>
        <v/>
      </c>
      <c r="G6" s="75">
        <f>Lender_Metrics!I8</f>
        <v/>
      </c>
      <c r="H6" s="75">
        <f>Lender_Metrics!J8</f>
        <v/>
      </c>
      <c r="I6" s="75">
        <f>Lender_Metrics!K8</f>
        <v/>
      </c>
      <c r="J6" s="75">
        <f>Lender_Metrics!L8</f>
        <v/>
      </c>
      <c r="K6" s="75">
        <f>Lender_Metrics!M8</f>
        <v/>
      </c>
      <c r="L6" s="75">
        <f>Lender_Metrics!N8</f>
        <v/>
      </c>
    </row>
    <row r="7">
      <c r="B7" t="inlineStr">
        <is>
          <t xml:space="preserve">  DSCR cushion vs 1.35x</t>
        </is>
      </c>
      <c r="C7" s="75">
        <f>IFERROR(C6-Assumptions!$D$73,0)</f>
        <v/>
      </c>
      <c r="D7" s="75">
        <f>IFERROR(D6-Assumptions!$D$73,0)</f>
        <v/>
      </c>
      <c r="E7" s="75">
        <f>IFERROR(E6-Assumptions!$D$73,0)</f>
        <v/>
      </c>
      <c r="F7" s="75">
        <f>IFERROR(F6-Assumptions!$D$73,0)</f>
        <v/>
      </c>
      <c r="G7" s="75">
        <f>IFERROR(G6-Assumptions!$D$73,0)</f>
        <v/>
      </c>
      <c r="H7" s="75">
        <f>IFERROR(H6-Assumptions!$D$73,0)</f>
        <v/>
      </c>
      <c r="I7" s="75">
        <f>IFERROR(I6-Assumptions!$D$73,0)</f>
        <v/>
      </c>
      <c r="J7" s="75">
        <f>IFERROR(J6-Assumptions!$D$73,0)</f>
        <v/>
      </c>
      <c r="K7" s="75">
        <f>IFERROR(K6-Assumptions!$D$73,0)</f>
        <v/>
      </c>
      <c r="L7" s="75">
        <f>IFERROR(L6-Assumptions!$D$73,0)</f>
        <v/>
      </c>
    </row>
    <row r="8">
      <c r="B8" t="inlineStr">
        <is>
          <t xml:space="preserve">  DSCR compliance</t>
        </is>
      </c>
      <c r="C8" s="60">
        <f>IF(C6&gt;=Assumptions!$D$73,"PASS","BREACH")</f>
        <v/>
      </c>
      <c r="D8" s="60">
        <f>IF(D6&gt;=Assumptions!$D$73,"PASS","BREACH")</f>
        <v/>
      </c>
      <c r="E8" s="60">
        <f>IF(E6&gt;=Assumptions!$D$73,"PASS","BREACH")</f>
        <v/>
      </c>
      <c r="F8" s="60">
        <f>IF(F6&gt;=Assumptions!$D$73,"PASS","BREACH")</f>
        <v/>
      </c>
      <c r="G8" s="60">
        <f>IF(G6&gt;=Assumptions!$D$73,"PASS","BREACH")</f>
        <v/>
      </c>
      <c r="H8" s="60">
        <f>IF(H6&gt;=Assumptions!$D$73,"PASS","BREACH")</f>
        <v/>
      </c>
      <c r="I8" s="60">
        <f>IF(I6&gt;=Assumptions!$D$73,"PASS","BREACH")</f>
        <v/>
      </c>
      <c r="J8" s="60">
        <f>IF(J6&gt;=Assumptions!$D$73,"PASS","BREACH")</f>
        <v/>
      </c>
      <c r="K8" s="60">
        <f>IF(K6&gt;=Assumptions!$D$73,"PASS","BREACH")</f>
        <v/>
      </c>
      <c r="L8" s="60">
        <f>IF(L6&gt;=Assumptions!$D$73,"PASS","BREACH")</f>
        <v/>
      </c>
    </row>
    <row r="9">
      <c r="B9" t="inlineStr">
        <is>
          <t xml:space="preserve">  Cash sweep trigger (DSCR &lt; 1.45x)</t>
        </is>
      </c>
      <c r="C9" s="60">
        <f>IF(C6&lt;1.45,"SWEEP","FREE CASH")</f>
        <v/>
      </c>
      <c r="D9" s="60">
        <f>IF(D6&lt;1.45,"SWEEP","FREE CASH")</f>
        <v/>
      </c>
      <c r="E9" s="60">
        <f>IF(E6&lt;1.45,"SWEEP","FREE CASH")</f>
        <v/>
      </c>
      <c r="F9" s="60">
        <f>IF(F6&lt;1.45,"SWEEP","FREE CASH")</f>
        <v/>
      </c>
      <c r="G9" s="60">
        <f>IF(G6&lt;1.45,"SWEEP","FREE CASH")</f>
        <v/>
      </c>
      <c r="H9" s="60">
        <f>IF(H6&lt;1.45,"SWEEP","FREE CASH")</f>
        <v/>
      </c>
      <c r="I9" s="60">
        <f>IF(I6&lt;1.45,"SWEEP","FREE CASH")</f>
        <v/>
      </c>
      <c r="J9" s="60">
        <f>IF(J6&lt;1.45,"SWEEP","FREE CASH")</f>
        <v/>
      </c>
      <c r="K9" s="60">
        <f>IF(K6&lt;1.45,"SWEEP","FREE CASH")</f>
        <v/>
      </c>
      <c r="L9" s="60">
        <f>IF(L6&lt;1.45,"SWEEP","FREE CASH")</f>
        <v/>
      </c>
    </row>
    <row r="11">
      <c r="B11" s="58" t="inlineStr">
        <is>
          <t>LLCR (PV CFADS / Debt)</t>
        </is>
      </c>
      <c r="C11" s="75">
        <f>IFERROR(Lender_Metrics!E10,0)</f>
        <v/>
      </c>
      <c r="D11" s="75">
        <f>IFERROR(Lender_Metrics!F10,0)</f>
        <v/>
      </c>
      <c r="E11" s="75">
        <f>IFERROR(Lender_Metrics!G10,0)</f>
        <v/>
      </c>
      <c r="F11" s="75">
        <f>IFERROR(Lender_Metrics!H10,0)</f>
        <v/>
      </c>
      <c r="G11" s="75">
        <f>IFERROR(Lender_Metrics!I10,0)</f>
        <v/>
      </c>
      <c r="H11" s="75">
        <f>IFERROR(Lender_Metrics!J10,0)</f>
        <v/>
      </c>
      <c r="I11" s="75">
        <f>IFERROR(Lender_Metrics!K10,0)</f>
        <v/>
      </c>
      <c r="J11" s="75">
        <f>IFERROR(Lender_Metrics!L10,0)</f>
        <v/>
      </c>
      <c r="K11" s="75">
        <f>IFERROR(Lender_Metrics!M10,0)</f>
        <v/>
      </c>
      <c r="L11" s="75">
        <f>IFERROR(Lender_Metrics!N10,0)</f>
        <v/>
      </c>
    </row>
    <row r="12">
      <c r="B12" t="inlineStr">
        <is>
          <t xml:space="preserve">  LLCR compliance (≥ 1.40x)</t>
        </is>
      </c>
      <c r="C12" s="60">
        <f>IF(C11&gt;=1.4,"PASS","BREACH")</f>
        <v/>
      </c>
      <c r="D12" s="60">
        <f>IF(D11&gt;=1.4,"PASS","BREACH")</f>
        <v/>
      </c>
      <c r="E12" s="60">
        <f>IF(E11&gt;=1.4,"PASS","BREACH")</f>
        <v/>
      </c>
      <c r="F12" s="60">
        <f>IF(F11&gt;=1.4,"PASS","BREACH")</f>
        <v/>
      </c>
      <c r="G12" s="60">
        <f>IF(G11&gt;=1.4,"PASS","BREACH")</f>
        <v/>
      </c>
      <c r="H12" s="60">
        <f>IF(H11&gt;=1.4,"PASS","BREACH")</f>
        <v/>
      </c>
      <c r="I12" s="60">
        <f>IF(I11&gt;=1.4,"PASS","BREACH")</f>
        <v/>
      </c>
      <c r="J12" s="60">
        <f>IF(J11&gt;=1.4,"PASS","BREACH")</f>
        <v/>
      </c>
      <c r="K12" s="60">
        <f>IF(K11&gt;=1.4,"PASS","BREACH")</f>
        <v/>
      </c>
      <c r="L12" s="60">
        <f>IF(L11&gt;=1.4,"PASS","BREACH")</f>
        <v/>
      </c>
    </row>
    <row r="14">
      <c r="B14" s="58" t="inlineStr">
        <is>
          <t>Debt yield (NOI / Debt)</t>
        </is>
      </c>
      <c r="C14" s="111">
        <f>IFERROR(Lender_Metrics!E13,0)</f>
        <v/>
      </c>
      <c r="D14" s="111">
        <f>IFERROR(Lender_Metrics!F13,0)</f>
        <v/>
      </c>
      <c r="E14" s="111">
        <f>IFERROR(Lender_Metrics!G13,0)</f>
        <v/>
      </c>
      <c r="F14" s="111">
        <f>IFERROR(Lender_Metrics!H13,0)</f>
        <v/>
      </c>
      <c r="G14" s="111">
        <f>IFERROR(Lender_Metrics!I13,0)</f>
        <v/>
      </c>
      <c r="H14" s="111">
        <f>IFERROR(Lender_Metrics!J13,0)</f>
        <v/>
      </c>
      <c r="I14" s="111">
        <f>IFERROR(Lender_Metrics!K13,0)</f>
        <v/>
      </c>
      <c r="J14" s="111">
        <f>IFERROR(Lender_Metrics!L13,0)</f>
        <v/>
      </c>
      <c r="K14" s="111">
        <f>IFERROR(Lender_Metrics!M13,0)</f>
        <v/>
      </c>
      <c r="L14" s="111">
        <f>IFERROR(Lender_Metrics!N13,0)</f>
        <v/>
      </c>
    </row>
    <row r="15">
      <c r="B15" t="inlineStr">
        <is>
          <t xml:space="preserve">  DY compliance (≥ 10%)</t>
        </is>
      </c>
      <c r="C15" s="60">
        <f>IF(C14&gt;=Assumptions!$D$75,"PASS","BREACH")</f>
        <v/>
      </c>
      <c r="D15" s="60">
        <f>IF(D14&gt;=Assumptions!$D$75,"PASS","BREACH")</f>
        <v/>
      </c>
      <c r="E15" s="60">
        <f>IF(E14&gt;=Assumptions!$D$75,"PASS","BREACH")</f>
        <v/>
      </c>
      <c r="F15" s="60">
        <f>IF(F14&gt;=Assumptions!$D$75,"PASS","BREACH")</f>
        <v/>
      </c>
      <c r="G15" s="60">
        <f>IF(G14&gt;=Assumptions!$D$75,"PASS","BREACH")</f>
        <v/>
      </c>
      <c r="H15" s="60">
        <f>IF(H14&gt;=Assumptions!$D$75,"PASS","BREACH")</f>
        <v/>
      </c>
      <c r="I15" s="60">
        <f>IF(I14&gt;=Assumptions!$D$75,"PASS","BREACH")</f>
        <v/>
      </c>
      <c r="J15" s="60">
        <f>IF(J14&gt;=Assumptions!$D$75,"PASS","BREACH")</f>
        <v/>
      </c>
      <c r="K15" s="60">
        <f>IF(K14&gt;=Assumptions!$D$75,"PASS","BREACH")</f>
        <v/>
      </c>
      <c r="L15" s="60">
        <f>IF(L14&gt;=Assumptions!$D$75,"PASS","BREACH")</f>
        <v/>
      </c>
    </row>
    <row r="17">
      <c r="B17" s="58" t="inlineStr">
        <is>
          <t>LTV (Debt / implied market value)</t>
        </is>
      </c>
      <c r="C17" s="111">
        <f>IFERROR(Debt!E9/(OpEx_CapEx!E9/Assumptions!$D$51),0)</f>
        <v/>
      </c>
      <c r="D17" s="111">
        <f>IFERROR(Debt!F9/(OpEx_CapEx!F9/Assumptions!$D$51),0)</f>
        <v/>
      </c>
      <c r="E17" s="111">
        <f>IFERROR(Debt!G9/(OpEx_CapEx!G9/Assumptions!$D$51),0)</f>
        <v/>
      </c>
      <c r="F17" s="111">
        <f>IFERROR(Debt!H9/(OpEx_CapEx!H9/Assumptions!$D$51),0)</f>
        <v/>
      </c>
      <c r="G17" s="111">
        <f>IFERROR(Debt!I9/(OpEx_CapEx!I9/Assumptions!$D$51),0)</f>
        <v/>
      </c>
      <c r="H17" s="111">
        <f>IFERROR(Debt!J9/(OpEx_CapEx!J9/Assumptions!$D$51),0)</f>
        <v/>
      </c>
      <c r="I17" s="111">
        <f>IFERROR(Debt!K9/(OpEx_CapEx!K9/Assumptions!$D$51),0)</f>
        <v/>
      </c>
      <c r="J17" s="111">
        <f>IFERROR(Debt!L9/(OpEx_CapEx!L9/Assumptions!$D$51),0)</f>
        <v/>
      </c>
      <c r="K17" s="111">
        <f>IFERROR(Debt!M9/(OpEx_CapEx!M9/Assumptions!$D$51),0)</f>
        <v/>
      </c>
      <c r="L17" s="111">
        <f>IFERROR(Debt!N9/(OpEx_CapEx!N9/Assumptions!$D$51),0)</f>
        <v/>
      </c>
    </row>
    <row r="18">
      <c r="B18" t="inlineStr">
        <is>
          <t xml:space="preserve">  LTV compliance (≤ 60%)</t>
        </is>
      </c>
      <c r="C18" s="60">
        <f>IF(C17&lt;=0.60,"PASS","BREACH")</f>
        <v/>
      </c>
      <c r="D18" s="60">
        <f>IF(D17&lt;=0.60,"PASS","BREACH")</f>
        <v/>
      </c>
      <c r="E18" s="60">
        <f>IF(E17&lt;=0.60,"PASS","BREACH")</f>
        <v/>
      </c>
      <c r="F18" s="60">
        <f>IF(F17&lt;=0.60,"PASS","BREACH")</f>
        <v/>
      </c>
      <c r="G18" s="60">
        <f>IF(G17&lt;=0.60,"PASS","BREACH")</f>
        <v/>
      </c>
      <c r="H18" s="60">
        <f>IF(H17&lt;=0.60,"PASS","BREACH")</f>
        <v/>
      </c>
      <c r="I18" s="60">
        <f>IF(I17&lt;=0.60,"PASS","BREACH")</f>
        <v/>
      </c>
      <c r="J18" s="60">
        <f>IF(J17&lt;=0.60,"PASS","BREACH")</f>
        <v/>
      </c>
      <c r="K18" s="60">
        <f>IF(K17&lt;=0.60,"PASS","BREACH")</f>
        <v/>
      </c>
      <c r="L18" s="60">
        <f>IF(L17&lt;=0.60,"PASS","BREACH")</f>
        <v/>
      </c>
    </row>
    <row r="20">
      <c r="B20" s="107" t="inlineStr">
        <is>
          <t>COMPLIANCE SUMMARY</t>
        </is>
      </c>
    </row>
    <row r="21">
      <c r="B21" t="inlineStr">
        <is>
          <t>Total breaches over hold</t>
        </is>
      </c>
      <c r="C21" s="78">
        <f>COUNTIF(C8:L8,"BREACH")+COUNTIF(C12:L12,"BREACH")+COUNTIF(C15:L15,"BREACH")+COUNTIF(C18:L18,"BREACH")</f>
        <v/>
      </c>
    </row>
    <row r="22">
      <c r="B22" t="inlineStr">
        <is>
          <t>Quarters in cash sweep</t>
        </is>
      </c>
      <c r="C22" s="78">
        <f>COUNTIF(C9:L9,"SWEEP")</f>
        <v/>
      </c>
    </row>
    <row r="23">
      <c r="B23" t="inlineStr">
        <is>
          <t>Verdict</t>
        </is>
      </c>
      <c r="C23" s="58">
        <f>IF(C21=0,"FULL COMPLIANCE",IF(C21&lt;=2,"MARGINAL — ACCEPTABLE","NON-COMPLIANT"))</f>
        <v/>
      </c>
    </row>
  </sheetData>
  <conditionalFormatting sqref="C8:L8">
    <cfRule type="cellIs" priority="1" operator="equal" dxfId="5">
      <formula>"PASS"</formula>
    </cfRule>
    <cfRule type="cellIs" priority="2" operator="equal" dxfId="4">
      <formula>"BREACH"</formula>
    </cfRule>
  </conditionalFormatting>
  <conditionalFormatting sqref="C9:L9">
    <cfRule type="cellIs" priority="3" operator="equal" dxfId="5">
      <formula>"FREE CASH"</formula>
    </cfRule>
    <cfRule type="cellIs" priority="4" operator="equal" dxfId="6">
      <formula>"SWEEP"</formula>
    </cfRule>
  </conditionalFormatting>
  <conditionalFormatting sqref="C12:L12">
    <cfRule type="cellIs" priority="5" operator="equal" dxfId="5">
      <formula>"PASS"</formula>
    </cfRule>
    <cfRule type="cellIs" priority="6" operator="equal" dxfId="4">
      <formula>"BREACH"</formula>
    </cfRule>
  </conditionalFormatting>
  <conditionalFormatting sqref="C15:L15">
    <cfRule type="cellIs" priority="7" operator="equal" dxfId="5">
      <formula>"PASS"</formula>
    </cfRule>
    <cfRule type="cellIs" priority="8" operator="equal" dxfId="4">
      <formula>"BREACH"</formula>
    </cfRule>
  </conditionalFormatting>
  <conditionalFormatting sqref="C18:L18">
    <cfRule type="cellIs" priority="9" operator="equal" dxfId="5">
      <formula>"PASS"</formula>
    </cfRule>
    <cfRule type="cellIs" priority="10" operator="equal" dxfId="4">
      <formula>"BREACH"</formula>
    </cfRule>
  </conditionalFormatting>
  <conditionalFormatting sqref="C23">
    <cfRule type="cellIs" priority="11" operator="equal" dxfId="5">
      <formula>"FULL COMPLIANCE"</formula>
    </cfRule>
    <cfRule type="cellIs" priority="12" operator="equal" dxfId="4">
      <formula>"NON-COMPLIANT"</formula>
    </cfRule>
    <cfRule type="cellIs" priority="13" operator="equal" dxfId="6">
      <formula>"MARGINAL — ACCEPTABLE"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128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42" customWidth="1" min="2" max="2"/>
    <col width="5" customWidth="1" min="3" max="3"/>
    <col width="18" customWidth="1" min="4" max="4"/>
    <col width="10" customWidth="1" min="5" max="5"/>
    <col width="60" customWidth="1" min="6" max="6"/>
  </cols>
  <sheetData>
    <row r="2" ht="27.75" customHeight="1">
      <c r="B2" s="120" t="inlineStr">
        <is>
          <t>ASSUMPTIONS — Bank-Ready (v5.1 Conservative)</t>
        </is>
      </c>
    </row>
    <row r="3" ht="15" customHeight="1">
      <c r="B3" s="5" t="inlineStr">
        <is>
          <t>Blue = input. Yellow fill = high-impact assumption. All cells outside the input column should be empty or formula-driven.</t>
        </is>
      </c>
    </row>
    <row r="5" ht="15" customHeight="1">
      <c r="B5" s="9" t="inlineStr">
        <is>
          <t>1. PROJECT TIMELINE</t>
        </is>
      </c>
    </row>
    <row r="6" ht="15" customHeight="1">
      <c r="B6" s="10" t="inlineStr">
        <is>
          <t>Investment closing year (Y0)</t>
        </is>
      </c>
      <c r="D6" s="11" t="n">
        <v>2025</v>
      </c>
      <c r="E6" s="10" t="inlineStr">
        <is>
          <t>year</t>
        </is>
      </c>
      <c r="F6" s="10" t="inlineStr">
        <is>
          <t>Capital deployed at start of this year</t>
        </is>
      </c>
    </row>
    <row r="7" ht="15" customHeight="1">
      <c r="B7" s="10" t="inlineStr">
        <is>
          <t>Holding period (operating years)</t>
        </is>
      </c>
      <c r="D7" s="12" t="n">
        <v>10</v>
      </c>
      <c r="E7" s="10" t="inlineStr">
        <is>
          <t>yrs</t>
        </is>
      </c>
      <c r="F7" s="10" t="inlineStr">
        <is>
          <t>Y1..Y_hold years of operation</t>
        </is>
      </c>
    </row>
    <row r="8" ht="15" customHeight="1">
      <c r="B8" s="10" t="inlineStr">
        <is>
          <t>Exit calendar year</t>
        </is>
      </c>
      <c r="D8" s="13">
        <f>Assumptions!$D$6+Assumptions!$D$7</f>
        <v/>
      </c>
      <c r="E8" s="10" t="inlineStr">
        <is>
          <t>year</t>
        </is>
      </c>
      <c r="F8" s="10" t="inlineStr">
        <is>
          <t>Calculated</t>
        </is>
      </c>
    </row>
    <row r="10" ht="15" customHeight="1">
      <c r="B10" s="9" t="inlineStr">
        <is>
          <t>2. PROJECT COST &amp; ACQUISITION</t>
        </is>
      </c>
    </row>
    <row r="11" ht="15" customHeight="1">
      <c r="B11" s="10" t="inlineStr">
        <is>
          <t>Asset purchase price</t>
        </is>
      </c>
      <c r="D11" s="121" t="n">
        <v>170000000</v>
      </c>
      <c r="E11" s="10" t="inlineStr">
        <is>
          <t>SAR</t>
        </is>
      </c>
      <c r="F11" s="10" t="inlineStr">
        <is>
          <t>Pre-fee asset price</t>
        </is>
      </c>
    </row>
    <row r="12" ht="15" customHeight="1">
      <c r="B12" s="10" t="inlineStr">
        <is>
          <t>RETT (Real Estate Transaction Tax)</t>
        </is>
      </c>
      <c r="D12" s="15" t="n">
        <v>0.05</v>
      </c>
      <c r="E12" s="10" t="inlineStr">
        <is>
          <t>%</t>
        </is>
      </c>
      <c r="F12" s="10" t="inlineStr">
        <is>
          <t>Saudi RETT — confirm current rate</t>
        </is>
      </c>
    </row>
    <row r="13" ht="15" customHeight="1">
      <c r="B13" s="10" t="inlineStr">
        <is>
          <t>Acquisition broker / agency</t>
        </is>
      </c>
      <c r="D13" s="15" t="n">
        <v>0.025</v>
      </c>
      <c r="E13" s="10" t="inlineStr">
        <is>
          <t>%</t>
        </is>
      </c>
      <c r="F13" s="10" t="inlineStr">
        <is>
          <t>% of purchase price</t>
        </is>
      </c>
    </row>
    <row r="14" ht="15" customHeight="1">
      <c r="B14" s="10" t="inlineStr">
        <is>
          <t>Acquisition / DD / legal fee</t>
        </is>
      </c>
      <c r="D14" s="15" t="n">
        <v>0.0025</v>
      </c>
      <c r="E14" s="10" t="inlineStr">
        <is>
          <t>%</t>
        </is>
      </c>
      <c r="F14" s="10" t="inlineStr">
        <is>
          <t>Advisory + legal</t>
        </is>
      </c>
    </row>
    <row r="15" ht="15" customHeight="1">
      <c r="B15" s="10" t="inlineStr">
        <is>
          <t>Sum of acquisition costs (%)</t>
        </is>
      </c>
      <c r="D15" s="16">
        <f>Assumptions!$D$12+Assumptions!$D$13+Assumptions!$D$14</f>
        <v/>
      </c>
      <c r="E15" s="10" t="inlineStr">
        <is>
          <t>%</t>
        </is>
      </c>
      <c r="F15" s="10" t="inlineStr">
        <is>
          <t>Calculated</t>
        </is>
      </c>
    </row>
    <row r="16" ht="15" customHeight="1">
      <c r="B16" s="10" t="inlineStr">
        <is>
          <t>Total project cost (incl. fees)</t>
        </is>
      </c>
      <c r="D16" s="17">
        <f>Assumptions!$D$11*(1+Assumptions!$D$15)</f>
        <v/>
      </c>
      <c r="E16" s="10" t="inlineStr">
        <is>
          <t>SAR</t>
        </is>
      </c>
      <c r="F16" s="10" t="inlineStr">
        <is>
          <t>Calculated</t>
        </is>
      </c>
    </row>
    <row r="18" ht="15" customHeight="1">
      <c r="B18" s="9" t="inlineStr">
        <is>
          <t>3. REVENUE</t>
        </is>
      </c>
    </row>
    <row r="19" ht="15" customHeight="1">
      <c r="B19" s="10" t="inlineStr">
        <is>
          <t>Year 1 gross revenue (stabilised)</t>
        </is>
      </c>
      <c r="D19" s="122" t="n">
        <v>14280000</v>
      </c>
      <c r="E19" s="10" t="inlineStr">
        <is>
          <t>SAR</t>
        </is>
      </c>
      <c r="F19" s="10" t="inlineStr">
        <is>
          <t>First full operating year revenue</t>
        </is>
      </c>
    </row>
    <row r="20" ht="15" customHeight="1">
      <c r="B20" s="10" t="inlineStr">
        <is>
          <t>Revenue growth rate (annualised)</t>
        </is>
      </c>
      <c r="D20" s="123" t="n">
        <v>0.025</v>
      </c>
      <c r="E20" s="10" t="inlineStr">
        <is>
          <t>%</t>
        </is>
      </c>
      <c r="F20" s="10" t="inlineStr">
        <is>
          <t>Effective annual growth</t>
        </is>
      </c>
    </row>
    <row r="21" ht="15" customHeight="1">
      <c r="B21" s="10" t="inlineStr">
        <is>
          <t>Escalation frequency</t>
        </is>
      </c>
      <c r="D21" s="124" t="n">
        <v>1</v>
      </c>
      <c r="E21" s="10" t="inlineStr">
        <is>
          <t>yrs</t>
        </is>
      </c>
      <c r="F21" s="10" t="inlineStr">
        <is>
          <t>1 = annual; 2 = biennial; etc.</t>
        </is>
      </c>
    </row>
    <row r="22" ht="15" customHeight="1">
      <c r="B22" s="10" t="inlineStr">
        <is>
          <t>Vacancy / collection loss</t>
        </is>
      </c>
      <c r="D22" s="123" t="n">
        <v>0.08</v>
      </c>
      <c r="E22" s="10" t="inlineStr">
        <is>
          <t>%</t>
        </is>
      </c>
      <c r="F22" s="10" t="inlineStr">
        <is>
          <t>% of gross revenue lost; v3 used 0% — institutional minimum 3-5%</t>
        </is>
      </c>
    </row>
    <row r="24" ht="15" customHeight="1">
      <c r="B24" s="9" t="inlineStr">
        <is>
          <t>4. OPERATING EXPENSES (asset level)</t>
        </is>
      </c>
    </row>
    <row r="25" ht="15" customHeight="1">
      <c r="B25" s="10" t="inlineStr">
        <is>
          <t>OpEx (% of EGI)</t>
        </is>
      </c>
      <c r="D25" s="123" t="n">
        <v>0.08</v>
      </c>
      <c r="E25" s="10" t="inlineStr">
        <is>
          <t>%</t>
        </is>
      </c>
      <c r="F25" s="10" t="inlineStr">
        <is>
          <t>True asset operating costs — maintenance, utilities, insurance, sec.</t>
        </is>
      </c>
    </row>
    <row r="26" ht="15" customHeight="1">
      <c r="B26" s="10" t="inlineStr">
        <is>
          <t>Property / municipal tax</t>
        </is>
      </c>
      <c r="D26" s="15" t="n">
        <v>0</v>
      </c>
      <c r="E26" s="10" t="inlineStr">
        <is>
          <t>%</t>
        </is>
      </c>
      <c r="F26" s="10" t="inlineStr">
        <is>
          <t>% of EGI — adjust to local regime</t>
        </is>
      </c>
    </row>
    <row r="27" ht="15" customHeight="1">
      <c r="B27" s="10" t="inlineStr">
        <is>
          <t>OpEx inflation</t>
        </is>
      </c>
      <c r="D27" s="123" t="n">
        <v>0.025</v>
      </c>
      <c r="E27" s="10" t="inlineStr">
        <is>
          <t>%</t>
        </is>
      </c>
      <c r="F27" s="10" t="inlineStr">
        <is>
          <t>Annual cost inflation</t>
        </is>
      </c>
    </row>
    <row r="29" ht="15" customHeight="1">
      <c r="B29" s="9" t="inlineStr">
        <is>
          <t>5. CORPORATE / FUND COSTS (below NOI)</t>
        </is>
      </c>
    </row>
    <row r="30" ht="15" customHeight="1">
      <c r="B30" s="10" t="inlineStr">
        <is>
          <t>Asset management fee (% NAV)</t>
        </is>
      </c>
      <c r="D30" s="15" t="n">
        <v>0.003</v>
      </c>
      <c r="E30" s="10" t="inlineStr">
        <is>
          <t>%</t>
        </is>
      </c>
      <c r="F30" s="10" t="inlineStr">
        <is>
          <t>0 if self-managed; NAV-based</t>
        </is>
      </c>
    </row>
    <row r="31" ht="15" customHeight="1">
      <c r="B31" s="10" t="inlineStr">
        <is>
          <t>Custodian fee (% NAV)</t>
        </is>
      </c>
      <c r="D31" s="15" t="n">
        <v>0.0004</v>
      </c>
      <c r="E31" s="10" t="inlineStr">
        <is>
          <t>%</t>
        </is>
      </c>
      <c r="F31" s="10" t="inlineStr">
        <is>
          <t>Third-party custody</t>
        </is>
      </c>
    </row>
    <row r="32" ht="15" customHeight="1">
      <c r="B32" s="10" t="inlineStr">
        <is>
          <t>Fund admin fee (% NAV)</t>
        </is>
      </c>
      <c r="D32" s="15" t="n">
        <v>0.0005</v>
      </c>
      <c r="E32" s="10" t="inlineStr">
        <is>
          <t>%</t>
        </is>
      </c>
      <c r="F32" s="10" t="inlineStr">
        <is>
          <t>Accounting/admin</t>
        </is>
      </c>
    </row>
    <row r="33" ht="15" customHeight="1">
      <c r="B33" s="10" t="inlineStr">
        <is>
          <t>Other fixed annual expenses</t>
        </is>
      </c>
      <c r="D33" s="19" t="n">
        <v>285000</v>
      </c>
      <c r="E33" s="10" t="inlineStr">
        <is>
          <t>SAR</t>
        </is>
      </c>
      <c r="F33" s="10" t="inlineStr">
        <is>
          <t>Audit, legal, board</t>
        </is>
      </c>
    </row>
    <row r="35" ht="15" customHeight="1">
      <c r="B35" s="9" t="inlineStr">
        <is>
          <t>6. CAPITAL EXPENDITURE</t>
        </is>
      </c>
    </row>
    <row r="36" ht="15" customHeight="1">
      <c r="B36" s="10" t="inlineStr">
        <is>
          <t>Maintenance CapEx (% of EGI)</t>
        </is>
      </c>
      <c r="D36" s="123" t="n">
        <v>0.02</v>
      </c>
      <c r="E36" s="10" t="inlineStr">
        <is>
          <t>%</t>
        </is>
      </c>
      <c r="F36" s="10" t="inlineStr">
        <is>
          <t>Institutional norm 1-2% for stabilized assets — v3 used 0%</t>
        </is>
      </c>
    </row>
    <row r="37" ht="15" customHeight="1">
      <c r="B37" s="10" t="inlineStr">
        <is>
          <t>Major refurbishment amount</t>
        </is>
      </c>
      <c r="D37" s="14" t="n">
        <v>3000000</v>
      </c>
      <c r="E37" s="10" t="inlineStr">
        <is>
          <t>SAR</t>
        </is>
      </c>
      <c r="F37" s="10" t="inlineStr">
        <is>
          <t>Cyclical major refurb (one-off)</t>
        </is>
      </c>
    </row>
    <row r="38" ht="15" customHeight="1">
      <c r="B38" s="10" t="inlineStr">
        <is>
          <t>Refurbishment year (Yn)</t>
        </is>
      </c>
      <c r="D38" s="11" t="n">
        <v>5</v>
      </c>
      <c r="E38" s="10" t="inlineStr">
        <is>
          <t>Yn</t>
        </is>
      </c>
      <c r="F38" s="10" t="inlineStr">
        <is>
          <t>Year of major refurb</t>
        </is>
      </c>
    </row>
    <row r="40" ht="15" customHeight="1">
      <c r="B40" s="9" t="inlineStr">
        <is>
          <t>7. FINANCING / DEBT</t>
        </is>
      </c>
    </row>
    <row r="41" ht="15" customHeight="1">
      <c r="B41" s="10" t="inlineStr">
        <is>
          <t>Debt ratio (% of total cost)</t>
        </is>
      </c>
      <c r="D41" s="18" t="n">
        <v>0.5</v>
      </c>
      <c r="E41" s="10" t="inlineStr">
        <is>
          <t>%</t>
        </is>
      </c>
      <c r="F41" s="10" t="inlineStr">
        <is>
          <t>Set 0% for all-equity</t>
        </is>
      </c>
    </row>
    <row r="42" ht="15" customHeight="1">
      <c r="B42" s="10" t="inlineStr">
        <is>
          <t>Cost of debt (annual)</t>
        </is>
      </c>
      <c r="D42" s="123" t="n">
        <v>0.075</v>
      </c>
      <c r="E42" s="10" t="inlineStr">
        <is>
          <t>%</t>
        </is>
      </c>
      <c r="F42" s="10" t="inlineStr">
        <is>
          <t>All-in rate</t>
        </is>
      </c>
    </row>
    <row r="43" ht="15" customHeight="1">
      <c r="B43" s="10" t="inlineStr">
        <is>
          <t>Debt arrangement fee (one-off)</t>
        </is>
      </c>
      <c r="D43" s="15" t="n">
        <v>0.0025</v>
      </c>
      <c r="E43" s="10" t="inlineStr">
        <is>
          <t>%</t>
        </is>
      </c>
      <c r="F43" s="10" t="inlineStr">
        <is>
          <t>% of debt; paid Y0</t>
        </is>
      </c>
    </row>
    <row r="44" ht="15" customHeight="1">
      <c r="B44" s="10" t="inlineStr">
        <is>
          <t>Amortization (1=AMORT, 0=BULLET)</t>
        </is>
      </c>
      <c r="D44" s="124" t="n">
        <v>0</v>
      </c>
      <c r="E44" s="10" t="inlineStr">
        <is>
          <t>flag</t>
        </is>
      </c>
      <c r="F44" s="10" t="inlineStr">
        <is>
          <t>1 = amortizing over tenor; 0 = bullet at exit</t>
        </is>
      </c>
    </row>
    <row r="45" ht="15" customHeight="1">
      <c r="B45" s="10" t="inlineStr">
        <is>
          <t>Debt tenor (years)</t>
        </is>
      </c>
      <c r="D45" s="11" t="n">
        <v>10</v>
      </c>
      <c r="E45" s="10" t="inlineStr">
        <is>
          <t>yrs</t>
        </is>
      </c>
      <c r="F45" s="10" t="inlineStr">
        <is>
          <t>Amortization tenor</t>
        </is>
      </c>
    </row>
    <row r="46" ht="15" customHeight="1">
      <c r="B46" s="10" t="inlineStr">
        <is>
          <t>Grace period (years, interest-only)</t>
        </is>
      </c>
      <c r="D46" s="11" t="n">
        <v>1</v>
      </c>
      <c r="E46" s="10" t="inlineStr">
        <is>
          <t>yrs</t>
        </is>
      </c>
      <c r="F46" s="10" t="inlineStr">
        <is>
          <t>Interest-only years</t>
        </is>
      </c>
    </row>
    <row r="47" ht="15" customHeight="1">
      <c r="B47" s="10" t="inlineStr">
        <is>
          <t>Debt amount</t>
        </is>
      </c>
      <c r="D47" s="17">
        <f>Assumptions!$D$16*Assumptions!$D$41</f>
        <v/>
      </c>
      <c r="E47" s="10" t="inlineStr">
        <is>
          <t>SAR</t>
        </is>
      </c>
      <c r="F47" s="10" t="inlineStr">
        <is>
          <t>Calculated</t>
        </is>
      </c>
    </row>
    <row r="48" ht="15" customHeight="1">
      <c r="B48" s="10" t="inlineStr">
        <is>
          <t>Equity required</t>
        </is>
      </c>
      <c r="D48" s="17">
        <f>Assumptions!$D$16*(1-Assumptions!$D$41)</f>
        <v/>
      </c>
      <c r="E48" s="10" t="inlineStr">
        <is>
          <t>SAR</t>
        </is>
      </c>
      <c r="F48" s="10" t="inlineStr">
        <is>
          <t>Calculated</t>
        </is>
      </c>
    </row>
    <row r="50" ht="15" customHeight="1">
      <c r="B50" s="9" t="inlineStr">
        <is>
          <t>8. EXIT / DISPOSAL</t>
        </is>
      </c>
    </row>
    <row r="51" ht="15" customHeight="1">
      <c r="B51" s="10" t="inlineStr">
        <is>
          <t>Exit cap rate</t>
        </is>
      </c>
      <c r="D51" s="123" t="n">
        <v>0.08500000000000001</v>
      </c>
      <c r="E51" s="10" t="inlineStr">
        <is>
          <t>%</t>
        </is>
      </c>
      <c r="F51" s="10" t="inlineStr">
        <is>
          <t>Higher = lower exit price</t>
        </is>
      </c>
    </row>
    <row r="52" ht="15" customHeight="1">
      <c r="B52" s="10" t="inlineStr">
        <is>
          <t>Exit broker commission</t>
        </is>
      </c>
      <c r="D52" s="123" t="n">
        <v>0.025</v>
      </c>
      <c r="E52" s="10" t="inlineStr">
        <is>
          <t>%</t>
        </is>
      </c>
      <c r="F52" s="10" t="inlineStr">
        <is>
          <t>% of sale price</t>
        </is>
      </c>
    </row>
    <row r="53" ht="15" customHeight="1">
      <c r="B53" s="10" t="inlineStr">
        <is>
          <t>Exit legal / advisory</t>
        </is>
      </c>
      <c r="D53" s="123" t="n">
        <v>0.0075</v>
      </c>
      <c r="E53" s="10" t="inlineStr">
        <is>
          <t>%</t>
        </is>
      </c>
      <c r="F53" s="10" t="inlineStr">
        <is>
          <t>% of sale price</t>
        </is>
      </c>
    </row>
    <row r="54" ht="15" customHeight="1">
      <c r="B54" s="10" t="inlineStr">
        <is>
          <t>Other disposal costs</t>
        </is>
      </c>
      <c r="D54" s="123" t="n">
        <v>0.0025</v>
      </c>
      <c r="E54" s="10" t="inlineStr">
        <is>
          <t>%</t>
        </is>
      </c>
      <c r="F54" s="10" t="inlineStr">
        <is>
          <t>% of sale price</t>
        </is>
      </c>
    </row>
    <row r="56" ht="15" customHeight="1">
      <c r="B56" s="9" t="inlineStr">
        <is>
          <t>9. TAX (Saudi regime)</t>
        </is>
      </c>
    </row>
    <row r="57" ht="15" customHeight="1">
      <c r="B57" s="10" t="inlineStr">
        <is>
          <t>Zakat (% on equity-base)</t>
        </is>
      </c>
      <c r="D57" s="18" t="n">
        <v>0.025</v>
      </c>
      <c r="E57" s="10" t="inlineStr">
        <is>
          <t>%</t>
        </is>
      </c>
      <c r="F57" s="10" t="inlineStr">
        <is>
          <t>2.5% on adjusted zakat base — confirm structure</t>
        </is>
      </c>
    </row>
    <row r="58" ht="15" customHeight="1">
      <c r="B58" s="10" t="inlineStr">
        <is>
          <t>Corporate tax (foreign-owned share)</t>
        </is>
      </c>
      <c r="D58" s="18" t="n">
        <v>0</v>
      </c>
      <c r="E58" s="10" t="inlineStr">
        <is>
          <t>%</t>
        </is>
      </c>
      <c r="F58" s="10" t="inlineStr">
        <is>
          <t>20% for non-Saudi shareholders; set 0 if 100% Saudi-owned</t>
        </is>
      </c>
    </row>
    <row r="59" ht="15" customHeight="1">
      <c r="B59" s="10" t="inlineStr">
        <is>
          <t>Withholding tax on distributions</t>
        </is>
      </c>
      <c r="D59" s="15" t="n">
        <v>0.05</v>
      </c>
      <c r="E59" s="10" t="inlineStr">
        <is>
          <t>%</t>
        </is>
      </c>
      <c r="F59" s="10" t="inlineStr">
        <is>
          <t>5% WHT on dividends to non-residents (treaty may reduce)</t>
        </is>
      </c>
    </row>
    <row r="60" ht="15" customHeight="1">
      <c r="B60" s="10" t="inlineStr">
        <is>
          <t>Tax on capital gain at exit</t>
        </is>
      </c>
      <c r="D60" s="15" t="n">
        <v>0</v>
      </c>
      <c r="E60" s="10" t="inlineStr">
        <is>
          <t>%</t>
        </is>
      </c>
      <c r="F60" s="10" t="inlineStr">
        <is>
          <t>KSA: 0% for resident corporates; 20% for non-resident WHT may apply</t>
        </is>
      </c>
    </row>
    <row r="62" ht="15" customHeight="1">
      <c r="B62" s="9" t="inlineStr">
        <is>
          <t>10. DISCOUNT RATE / WACC</t>
        </is>
      </c>
    </row>
    <row r="63" ht="15" customHeight="1">
      <c r="B63" s="10" t="inlineStr">
        <is>
          <t>Risk-free rate (KSA 10Y sovereign)</t>
        </is>
      </c>
      <c r="D63" s="15" t="n">
        <v>0.05</v>
      </c>
      <c r="E63" s="10" t="inlineStr">
        <is>
          <t>%</t>
        </is>
      </c>
      <c r="F63" s="10" t="inlineStr">
        <is>
          <t>Sovereign benchmark</t>
        </is>
      </c>
    </row>
    <row r="64" ht="15" customHeight="1">
      <c r="B64" s="10" t="inlineStr">
        <is>
          <t>Market risk premium</t>
        </is>
      </c>
      <c r="D64" s="15" t="n">
        <v>0.05</v>
      </c>
      <c r="E64" s="10" t="inlineStr">
        <is>
          <t>%</t>
        </is>
      </c>
      <c r="F64" s="10" t="inlineStr">
        <is>
          <t>4-7% range typical</t>
        </is>
      </c>
    </row>
    <row r="65" ht="15" customHeight="1">
      <c r="B65" s="10" t="inlineStr">
        <is>
          <t>Beta (levered)</t>
        </is>
      </c>
      <c r="D65" s="20" t="n">
        <v>1</v>
      </c>
      <c r="E65" s="10" t="inlineStr">
        <is>
          <t>x</t>
        </is>
      </c>
      <c r="F65" s="10" t="inlineStr">
        <is>
          <t>1 = market</t>
        </is>
      </c>
    </row>
    <row r="66" ht="15" customHeight="1">
      <c r="B66" s="10" t="inlineStr">
        <is>
          <t>Cost of equity (Ke)</t>
        </is>
      </c>
      <c r="D66" s="16">
        <f>Assumptions!$D$63+Assumptions!$D$65*Assumptions!$D$64</f>
        <v/>
      </c>
      <c r="E66" s="10" t="inlineStr">
        <is>
          <t>%</t>
        </is>
      </c>
      <c r="F66" s="10" t="inlineStr">
        <is>
          <t>CAPM</t>
        </is>
      </c>
    </row>
    <row r="67" ht="15" customHeight="1">
      <c r="B67" s="10" t="inlineStr">
        <is>
          <t>After-tax cost of debt</t>
        </is>
      </c>
      <c r="D67" s="16">
        <f>Assumptions!$D$42*(1-Assumptions!$D$58)</f>
        <v/>
      </c>
      <c r="E67" s="10" t="inlineStr">
        <is>
          <t>%</t>
        </is>
      </c>
      <c r="F67" s="10" t="inlineStr">
        <is>
          <t>Kd*(1-t)</t>
        </is>
      </c>
    </row>
    <row r="68" ht="15" customHeight="1">
      <c r="B68" s="10" t="inlineStr">
        <is>
          <t>WACC</t>
        </is>
      </c>
      <c r="D68" s="16">
        <f>Assumptions!$D$66*(1-Assumptions!$D$41)+Assumptions!$D$67*Assumptions!$D$41</f>
        <v/>
      </c>
      <c r="E68" s="10" t="inlineStr">
        <is>
          <t>%</t>
        </is>
      </c>
      <c r="F68" s="10" t="inlineStr">
        <is>
          <t>Calculated</t>
        </is>
      </c>
    </row>
    <row r="70" ht="15" customHeight="1">
      <c r="B70" s="9" t="inlineStr">
        <is>
          <t>11. RISK / HURDLES</t>
        </is>
      </c>
    </row>
    <row r="71" ht="15" customHeight="1">
      <c r="B71" s="10" t="inlineStr">
        <is>
          <t>Hurdle rate (min IRR)</t>
        </is>
      </c>
      <c r="D71" s="123" t="n">
        <v>0.12</v>
      </c>
      <c r="E71" s="10" t="inlineStr">
        <is>
          <t>%</t>
        </is>
      </c>
      <c r="F71" s="10" t="inlineStr">
        <is>
          <t>Equity IRR floor — v3 used 8% which equals WACC (too low)</t>
        </is>
      </c>
    </row>
    <row r="72" ht="15" customHeight="1">
      <c r="B72" s="10" t="inlineStr">
        <is>
          <t>MOIC target</t>
        </is>
      </c>
      <c r="D72" s="125" t="n">
        <v>1.6</v>
      </c>
      <c r="E72" s="10" t="inlineStr">
        <is>
          <t>x</t>
        </is>
      </c>
      <c r="F72" s="10" t="inlineStr">
        <is>
          <t>Equity multiple floor for 10-yr hold</t>
        </is>
      </c>
    </row>
    <row r="73" ht="15" customHeight="1">
      <c r="B73" s="10" t="inlineStr">
        <is>
          <t>Minimum DSCR (per year)</t>
        </is>
      </c>
      <c r="D73" s="126" t="n">
        <v>1.35</v>
      </c>
      <c r="E73" s="10" t="inlineStr">
        <is>
          <t>x</t>
        </is>
      </c>
      <c r="F73" s="10" t="inlineStr">
        <is>
          <t>Bank covenant</t>
        </is>
      </c>
    </row>
    <row r="74" ht="15" customHeight="1">
      <c r="B74" s="10" t="inlineStr">
        <is>
          <t>Maximum LTV</t>
        </is>
      </c>
      <c r="D74" s="123" t="n">
        <v>0.55</v>
      </c>
      <c r="E74" s="10" t="inlineStr">
        <is>
          <t>%</t>
        </is>
      </c>
      <c r="F74" s="10" t="inlineStr">
        <is>
          <t>Bank LTV ceiling</t>
        </is>
      </c>
    </row>
    <row r="75" ht="15" customHeight="1">
      <c r="B75" s="10" t="inlineStr">
        <is>
          <t>Minimum debt yield (NOI/Debt)</t>
        </is>
      </c>
      <c r="D75" s="15" t="n">
        <v>0.1</v>
      </c>
      <c r="E75" s="10" t="inlineStr">
        <is>
          <t>%</t>
        </is>
      </c>
      <c r="F75" s="10" t="inlineStr">
        <is>
          <t>Bank debt yield floor</t>
        </is>
      </c>
    </row>
    <row r="76">
      <c r="B76" s="58" t="inlineStr">
        <is>
          <t>Zakat base haircut (% of property absorbed)</t>
        </is>
      </c>
      <c r="D76" s="95" t="n">
        <v>0.7</v>
      </c>
      <c r="E76" s="60" t="inlineStr">
        <is>
          <t>%</t>
        </is>
      </c>
      <c r="F76" s="52" t="inlineStr">
        <is>
          <t>Property book value sheltering zakat base; KSA norm 70–90%</t>
        </is>
      </c>
    </row>
    <row r="77">
      <c r="B77" s="58" t="inlineStr">
        <is>
          <t>Effective Zakat base (calculated)</t>
        </is>
      </c>
      <c r="D77" s="61">
        <f>MAX(0,Assumptions!$D$48*(1-Assumptions!$D$76))</f>
        <v/>
      </c>
      <c r="E77" s="60" t="inlineStr">
        <is>
          <t>SAR</t>
        </is>
      </c>
      <c r="F77" s="52" t="inlineStr">
        <is>
          <t>Equity less property shelter</t>
        </is>
      </c>
    </row>
    <row r="78">
      <c r="B78" s="53" t="inlineStr">
        <is>
          <t>12. REFINANCING</t>
        </is>
      </c>
    </row>
    <row r="79">
      <c r="B79" t="inlineStr">
        <is>
          <t>Refinance switch (1=ON, 0=OFF)</t>
        </is>
      </c>
      <c r="D79" s="62" t="n">
        <v>1</v>
      </c>
      <c r="E79" s="60" t="inlineStr">
        <is>
          <t>flag</t>
        </is>
      </c>
      <c r="F79" s="52" t="inlineStr">
        <is>
          <t>Models a single refi during hold period</t>
        </is>
      </c>
    </row>
    <row r="80">
      <c r="B80" t="inlineStr">
        <is>
          <t>Refinance year (Yn)</t>
        </is>
      </c>
      <c r="D80" s="62" t="n">
        <v>5</v>
      </c>
      <c r="E80" s="60" t="inlineStr">
        <is>
          <t>Yn</t>
        </is>
      </c>
      <c r="F80" s="52" t="inlineStr">
        <is>
          <t>Year in which existing debt is replaced</t>
        </is>
      </c>
    </row>
    <row r="81">
      <c r="B81" t="inlineStr">
        <is>
          <t>Refinanced LTV (% of property value at refi)</t>
        </is>
      </c>
      <c r="D81" s="96" t="n">
        <v>0.55</v>
      </c>
      <c r="E81" s="60" t="inlineStr">
        <is>
          <t>%</t>
        </is>
      </c>
      <c r="F81" s="52" t="inlineStr">
        <is>
          <t>Bank refi LTV; institutional ceiling 55–60%</t>
        </is>
      </c>
    </row>
    <row r="82">
      <c r="B82" t="inlineStr">
        <is>
          <t>Refinanced cost of debt</t>
        </is>
      </c>
      <c r="D82" s="96" t="n">
        <v>0.08500000000000001</v>
      </c>
      <c r="E82" s="60" t="inlineStr">
        <is>
          <t>%</t>
        </is>
      </c>
      <c r="F82" s="52" t="inlineStr">
        <is>
          <t>Forward curve assumption; v4 was 7%</t>
        </is>
      </c>
    </row>
    <row r="83">
      <c r="B83" t="inlineStr">
        <is>
          <t>Refinanced tenor (years from refi)</t>
        </is>
      </c>
      <c r="D83" s="62" t="n">
        <v>5</v>
      </c>
      <c r="E83" s="60" t="inlineStr">
        <is>
          <t>yrs</t>
        </is>
      </c>
      <c r="F83" s="52" t="inlineStr">
        <is>
          <t>Remaining life to exit</t>
        </is>
      </c>
    </row>
    <row r="84">
      <c r="B84" t="inlineStr">
        <is>
          <t>Refinanced amortization (1=AMORT, 0=BULLET)</t>
        </is>
      </c>
      <c r="D84" s="62" t="n">
        <v>1</v>
      </c>
      <c r="E84" s="60" t="inlineStr">
        <is>
          <t>flag</t>
        </is>
      </c>
      <c r="F84" s="52" t="inlineStr">
        <is>
          <t>Post-refi amortization preferred</t>
        </is>
      </c>
    </row>
    <row r="85">
      <c r="B85" t="inlineStr">
        <is>
          <t>Refinance fee (% of new debt)</t>
        </is>
      </c>
      <c r="D85" s="96" t="n">
        <v>0.0075</v>
      </c>
      <c r="E85" s="60" t="inlineStr">
        <is>
          <t>%</t>
        </is>
      </c>
      <c r="F85" s="52" t="inlineStr">
        <is>
          <t>Bank arrangement + legal</t>
        </is>
      </c>
    </row>
    <row r="86">
      <c r="B86" t="inlineStr">
        <is>
          <t>Property value at refi (per appraisal proxy)</t>
        </is>
      </c>
      <c r="D86" s="61">
        <f>OpEx_CapEx!I9/Assumptions!$D$51</f>
        <v/>
      </c>
      <c r="E86" s="60" t="inlineStr">
        <is>
          <t>SAR</t>
        </is>
      </c>
      <c r="F86" s="52" t="inlineStr">
        <is>
          <t>Cap-rate valuation of Y(refi) NOI</t>
        </is>
      </c>
    </row>
    <row r="88">
      <c r="B88" s="53" t="inlineStr">
        <is>
          <t>13. INSTITUTIONAL RESERVES</t>
        </is>
      </c>
    </row>
    <row r="89">
      <c r="B89" t="inlineStr">
        <is>
          <t>DSRA — Debt Service Reserve (months of DS)</t>
        </is>
      </c>
      <c r="D89" s="64" t="n">
        <v>9</v>
      </c>
      <c r="E89" s="60" t="inlineStr">
        <is>
          <t>mths</t>
        </is>
      </c>
      <c r="F89" s="52" t="inlineStr">
        <is>
          <t>Bank covenant typical 6 months</t>
        </is>
      </c>
    </row>
    <row r="90">
      <c r="B90" t="inlineStr">
        <is>
          <t>Operating reserve (months of OpEx)</t>
        </is>
      </c>
      <c r="D90" s="64" t="n">
        <v>3</v>
      </c>
      <c r="E90" s="60" t="inlineStr">
        <is>
          <t>mths</t>
        </is>
      </c>
      <c r="F90" s="52" t="inlineStr">
        <is>
          <t>Working-capital buffer</t>
        </is>
      </c>
    </row>
    <row r="91">
      <c r="B91" t="inlineStr">
        <is>
          <t>CapEx reserve (months of CapEx run-rate)</t>
        </is>
      </c>
      <c r="D91" s="64" t="n">
        <v>12</v>
      </c>
      <c r="E91" s="60" t="inlineStr">
        <is>
          <t>mths</t>
        </is>
      </c>
      <c r="F91" s="52" t="inlineStr">
        <is>
          <t>Forward-funded CapEx pool</t>
        </is>
      </c>
    </row>
    <row r="92">
      <c r="B92" t="inlineStr">
        <is>
          <t>Contingency reserve (% of total cost)</t>
        </is>
      </c>
      <c r="D92" s="96" t="n">
        <v>0.015</v>
      </c>
      <c r="E92" s="60" t="inlineStr">
        <is>
          <t>%</t>
        </is>
      </c>
      <c r="F92" s="52" t="inlineStr">
        <is>
          <t>Unallocated</t>
        </is>
      </c>
    </row>
    <row r="93">
      <c r="B93" t="inlineStr">
        <is>
          <t>Min cash on balance sheet (SAR)</t>
        </is>
      </c>
      <c r="D93" s="64" t="n">
        <v>3000000</v>
      </c>
      <c r="E93" s="60" t="inlineStr">
        <is>
          <t>SAR</t>
        </is>
      </c>
      <c r="F93" s="52" t="inlineStr">
        <is>
          <t>Hard floor</t>
        </is>
      </c>
    </row>
    <row r="95">
      <c r="B95" s="53" t="inlineStr">
        <is>
          <t>14. STRESS / SCENARIO SHOCK INPUTS</t>
        </is>
      </c>
    </row>
    <row r="96">
      <c r="B96" s="52" t="inlineStr">
        <is>
          <t>Scenario_Engine reads from these; do not edit the engine itself.</t>
        </is>
      </c>
    </row>
    <row r="97">
      <c r="B97" s="65" t="inlineStr">
        <is>
          <t>Driver</t>
        </is>
      </c>
      <c r="C97" s="65" t="inlineStr">
        <is>
          <t>Base</t>
        </is>
      </c>
      <c r="D97" s="65" t="inlineStr">
        <is>
          <t>Downside</t>
        </is>
      </c>
      <c r="E97" s="65" t="inlineStr">
        <is>
          <t>Severe</t>
        </is>
      </c>
      <c r="F97" s="65" t="inlineStr">
        <is>
          <t>Stress</t>
        </is>
      </c>
      <c r="G97" s="65" t="inlineStr">
        <is>
          <t>Upside</t>
        </is>
      </c>
    </row>
    <row r="98">
      <c r="B98" t="inlineStr">
        <is>
          <t>Revenue growth shock (Δpp)</t>
        </is>
      </c>
      <c r="C98" s="66" t="n">
        <v>0</v>
      </c>
      <c r="D98" s="66" t="n">
        <v>-0.01</v>
      </c>
      <c r="E98" s="66" t="n">
        <v>-0.02</v>
      </c>
      <c r="F98" s="66" t="n">
        <v>-0.03</v>
      </c>
      <c r="G98" s="66" t="n">
        <v>0.01</v>
      </c>
    </row>
    <row r="99">
      <c r="B99" t="inlineStr">
        <is>
          <t>Vacancy shock (Δpp added to base)</t>
        </is>
      </c>
      <c r="C99" s="66" t="n">
        <v>0</v>
      </c>
      <c r="D99" s="66" t="n">
        <v>0.05</v>
      </c>
      <c r="E99" s="66" t="n">
        <v>0.1</v>
      </c>
      <c r="F99" s="66" t="n">
        <v>0.2</v>
      </c>
      <c r="G99" s="66" t="n">
        <v>-0.02</v>
      </c>
    </row>
    <row r="100">
      <c r="B100" t="inlineStr">
        <is>
          <t>OpEx multiplier (× base)</t>
        </is>
      </c>
      <c r="C100" s="97" t="n">
        <v>1</v>
      </c>
      <c r="D100" s="97" t="n">
        <v>1.1</v>
      </c>
      <c r="E100" s="97" t="n">
        <v>1.2</v>
      </c>
      <c r="F100" s="97" t="n">
        <v>1.35</v>
      </c>
      <c r="G100" s="97" t="n">
        <v>0.95</v>
      </c>
    </row>
    <row r="101">
      <c r="B101" t="inlineStr">
        <is>
          <t>Exit cap shock (Δbps)</t>
        </is>
      </c>
      <c r="C101" s="68" t="n">
        <v>0</v>
      </c>
      <c r="D101" s="68" t="n">
        <v>50</v>
      </c>
      <c r="E101" s="68" t="n">
        <v>150</v>
      </c>
      <c r="F101" s="68" t="n">
        <v>250</v>
      </c>
      <c r="G101" s="68" t="n">
        <v>-25</v>
      </c>
    </row>
    <row r="102">
      <c r="B102" t="inlineStr">
        <is>
          <t>Cost-of-debt shock (Δbps)</t>
        </is>
      </c>
      <c r="C102" s="68" t="n">
        <v>0</v>
      </c>
      <c r="D102" s="68" t="n">
        <v>100</v>
      </c>
      <c r="E102" s="68" t="n">
        <v>200</v>
      </c>
      <c r="F102" s="68" t="n">
        <v>350</v>
      </c>
      <c r="G102" s="68" t="n">
        <v>-25</v>
      </c>
    </row>
    <row r="103">
      <c r="B103" t="inlineStr">
        <is>
          <t>Refi failure flag (1=fail)</t>
        </is>
      </c>
      <c r="C103" s="68" t="n">
        <v>0</v>
      </c>
      <c r="D103" s="68" t="n">
        <v>0</v>
      </c>
      <c r="E103" s="68" t="n">
        <v>0</v>
      </c>
      <c r="F103" s="68" t="n">
        <v>1</v>
      </c>
      <c r="G103" s="68" t="n">
        <v>0</v>
      </c>
    </row>
    <row r="104">
      <c r="B104" t="inlineStr">
        <is>
          <t>Delayed stabilisation (years)</t>
        </is>
      </c>
      <c r="C104" s="68" t="n">
        <v>0</v>
      </c>
      <c r="D104" s="68" t="n">
        <v>1</v>
      </c>
      <c r="E104" s="68" t="n">
        <v>2</v>
      </c>
      <c r="F104" s="68" t="n">
        <v>3</v>
      </c>
      <c r="G104" s="68" t="n">
        <v>0</v>
      </c>
    </row>
    <row r="105">
      <c r="B105" t="inlineStr">
        <is>
          <t>Construction / acquisition overrun (% cost)</t>
        </is>
      </c>
      <c r="C105" s="97" t="n">
        <v>0</v>
      </c>
      <c r="D105" s="97" t="n">
        <v>0.02</v>
      </c>
      <c r="E105" s="97" t="n">
        <v>0.05</v>
      </c>
      <c r="F105" s="97" t="n">
        <v>0.1</v>
      </c>
      <c r="G105" s="97" t="n">
        <v>0</v>
      </c>
    </row>
    <row r="107">
      <c r="B107" s="69" t="inlineStr">
        <is>
          <t>ACTIVE SCENARIO (1=Base 2=Down 3=Severe 4=Stress 5=Up)</t>
        </is>
      </c>
      <c r="D107" s="68" t="n">
        <v>1</v>
      </c>
      <c r="E107" s="60" t="inlineStr">
        <is>
          <t>switch</t>
        </is>
      </c>
      <c r="F107" s="52" t="inlineStr">
        <is>
          <t>Drives Scenario_Engine outputs; does NOT alter base model.</t>
        </is>
      </c>
    </row>
    <row r="109">
      <c r="B109" s="53" t="inlineStr">
        <is>
          <t>15. RESTRUCTURED-DEAL ALTERNATIVE (institutional target)</t>
        </is>
      </c>
    </row>
    <row r="110">
      <c r="B110" t="inlineStr">
        <is>
          <t>Target acquisition price (negotiated)</t>
        </is>
      </c>
      <c r="D110" s="64" t="n">
        <v>145000000</v>
      </c>
      <c r="E110" s="60" t="inlineStr">
        <is>
          <t>SAR</t>
        </is>
      </c>
      <c r="F110" s="52" t="inlineStr">
        <is>
          <t>Renegotiated lower entry basis</t>
        </is>
      </c>
    </row>
    <row r="111">
      <c r="B111" t="inlineStr">
        <is>
          <t>Target Year-1 NOI uplift (% above base)</t>
        </is>
      </c>
      <c r="D111" s="70" t="n">
        <v>0.05</v>
      </c>
      <c r="E111" s="60" t="inlineStr">
        <is>
          <t>%</t>
        </is>
      </c>
      <c r="F111" s="52" t="inlineStr">
        <is>
          <t>From repositioning, lease-up, OpEx cuts</t>
        </is>
      </c>
    </row>
    <row r="112">
      <c r="B112" t="inlineStr">
        <is>
          <t>Target LTV</t>
        </is>
      </c>
      <c r="D112" s="70" t="n">
        <v>0.55</v>
      </c>
      <c r="E112" s="60" t="inlineStr">
        <is>
          <t>%</t>
        </is>
      </c>
      <c r="F112" s="52" t="inlineStr">
        <is>
          <t>Disciplined leverage</t>
        </is>
      </c>
    </row>
    <row r="113">
      <c r="B113" t="inlineStr">
        <is>
          <t>Target cost of debt</t>
        </is>
      </c>
      <c r="D113" s="70" t="n">
        <v>0.075</v>
      </c>
      <c r="E113" s="60" t="inlineStr">
        <is>
          <t>%</t>
        </is>
      </c>
      <c r="F113" s="52" t="inlineStr">
        <is>
          <t>Sized to current SAIBOR + spread</t>
        </is>
      </c>
    </row>
    <row r="114">
      <c r="B114" t="inlineStr">
        <is>
          <t>Target amortization (1=yes)</t>
        </is>
      </c>
      <c r="D114" s="64" t="n">
        <v>1</v>
      </c>
      <c r="E114" s="60" t="inlineStr">
        <is>
          <t>flag</t>
        </is>
      </c>
      <c r="F114" s="52" t="inlineStr">
        <is>
          <t>Mandatory amortizing structure</t>
        </is>
      </c>
    </row>
    <row r="115">
      <c r="B115" t="inlineStr">
        <is>
          <t>Target exit cap (conservative)</t>
        </is>
      </c>
      <c r="D115" s="70" t="n">
        <v>0.08</v>
      </c>
      <c r="E115" s="60" t="inlineStr">
        <is>
          <t>%</t>
        </is>
      </c>
      <c r="F115" s="52" t="inlineStr">
        <is>
          <t>Reflects 5y forward + risk premium</t>
        </is>
      </c>
    </row>
    <row r="116">
      <c r="B116" t="inlineStr">
        <is>
          <t>Target equity IRR floor</t>
        </is>
      </c>
      <c r="D116" s="70" t="n">
        <v>0.12</v>
      </c>
      <c r="E116" s="60" t="inlineStr">
        <is>
          <t>%</t>
        </is>
      </c>
      <c r="F116" s="52" t="inlineStr">
        <is>
          <t>Institutional minimum given risk</t>
        </is>
      </c>
    </row>
    <row r="117">
      <c r="B117" t="inlineStr">
        <is>
          <t>Target min DSCR floor</t>
        </is>
      </c>
      <c r="D117" s="71" t="n">
        <v>1.35</v>
      </c>
      <c r="E117" s="60" t="inlineStr">
        <is>
          <t>x</t>
        </is>
      </c>
      <c r="F117" s="52" t="inlineStr">
        <is>
          <t>Lender covenant headroom</t>
        </is>
      </c>
    </row>
    <row r="119">
      <c r="B119" s="107" t="inlineStr">
        <is>
          <t>16. BORROWER / SPONSOR PROFILE (for term-sheet alignment)</t>
        </is>
      </c>
    </row>
    <row r="120">
      <c r="B120" s="58" t="inlineStr">
        <is>
          <t>Sponsor</t>
        </is>
      </c>
      <c r="D120" s="52" t="inlineStr">
        <is>
          <t>Bin Amer Holding</t>
        </is>
      </c>
    </row>
    <row r="121">
      <c r="B121" s="58" t="inlineStr">
        <is>
          <t>Borrower (SPV)</t>
        </is>
      </c>
      <c r="D121" s="52" t="inlineStr">
        <is>
          <t>Bin Amer Real Estate SPV, KSA</t>
        </is>
      </c>
    </row>
    <row r="122">
      <c r="B122" s="58" t="inlineStr">
        <is>
          <t>Asset class</t>
        </is>
      </c>
      <c r="D122" s="52" t="inlineStr">
        <is>
          <t>Stabilised income real estate (commercial/retail)</t>
        </is>
      </c>
    </row>
    <row r="123">
      <c r="B123" s="58" t="inlineStr">
        <is>
          <t>Geography</t>
        </is>
      </c>
      <c r="D123" s="52" t="inlineStr">
        <is>
          <t>Kingdom of Saudi Arabia</t>
        </is>
      </c>
    </row>
    <row r="124">
      <c r="B124" s="58" t="inlineStr">
        <is>
          <t>Asset description</t>
        </is>
      </c>
      <c r="D124" s="52" t="inlineStr">
        <is>
          <t>Single-asset, stabilised, prime location</t>
        </is>
      </c>
    </row>
    <row r="125">
      <c r="B125" s="58" t="inlineStr">
        <is>
          <t>Operator</t>
        </is>
      </c>
      <c r="D125" s="52" t="inlineStr">
        <is>
          <t>Bin Amer Property Management / 3rd-party</t>
        </is>
      </c>
    </row>
    <row r="126">
      <c r="B126" s="58" t="inlineStr">
        <is>
          <t>Sponsor recourse</t>
        </is>
      </c>
      <c r="D126" s="52" t="inlineStr">
        <is>
          <t>Limited — completion / cost-overrun only</t>
        </is>
      </c>
    </row>
    <row r="127">
      <c r="B127" s="58" t="inlineStr">
        <is>
          <t>Currency</t>
        </is>
      </c>
      <c r="D127" s="52" t="inlineStr">
        <is>
          <t>SAR</t>
        </is>
      </c>
    </row>
    <row r="128">
      <c r="B128" s="58" t="inlineStr">
        <is>
          <t>Reporting</t>
        </is>
      </c>
      <c r="D128" s="52" t="inlineStr">
        <is>
          <t>IFRS, quarterly compliance certificate to lender</t>
        </is>
      </c>
    </row>
  </sheetData>
  <mergeCells count="12">
    <mergeCell ref="B56:F56"/>
    <mergeCell ref="B29:F29"/>
    <mergeCell ref="B24:F24"/>
    <mergeCell ref="B62:F62"/>
    <mergeCell ref="B2:F2"/>
    <mergeCell ref="B10:F10"/>
    <mergeCell ref="B35:F35"/>
    <mergeCell ref="B5:F5"/>
    <mergeCell ref="B50:F50"/>
    <mergeCell ref="B40:F40"/>
    <mergeCell ref="B18:F18"/>
    <mergeCell ref="B70:F70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9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36" customWidth="1" min="2" max="2"/>
    <col width="2" customWidth="1" min="3" max="3"/>
    <col width="13" customWidth="1" min="4" max="14"/>
  </cols>
  <sheetData>
    <row r="2" ht="27.75" customHeight="1">
      <c r="B2" s="3" t="inlineStr">
        <is>
          <t>TIMELINE &amp; PERIOD FLAGS</t>
        </is>
      </c>
    </row>
    <row r="3" ht="15" customHeight="1">
      <c r="B3" s="9" t="inlineStr">
        <is>
          <t>Period</t>
        </is>
      </c>
      <c r="D3" s="22" t="n">
        <v>0</v>
      </c>
      <c r="E3" s="22" t="n">
        <v>1</v>
      </c>
      <c r="F3" s="22" t="n">
        <v>2</v>
      </c>
      <c r="G3" s="22" t="n">
        <v>3</v>
      </c>
      <c r="H3" s="22" t="n">
        <v>4</v>
      </c>
      <c r="I3" s="22" t="n">
        <v>5</v>
      </c>
      <c r="J3" s="22" t="n">
        <v>6</v>
      </c>
      <c r="K3" s="22" t="n">
        <v>7</v>
      </c>
      <c r="L3" s="22" t="n">
        <v>8</v>
      </c>
      <c r="M3" s="22" t="n">
        <v>9</v>
      </c>
      <c r="N3" s="22" t="n">
        <v>10</v>
      </c>
    </row>
    <row r="4" ht="15" customHeight="1">
      <c r="B4" s="9" t="inlineStr">
        <is>
          <t>Year</t>
        </is>
      </c>
      <c r="D4" s="22">
        <f>Assumptions!$D$6+0</f>
        <v/>
      </c>
      <c r="E4" s="22">
        <f>Assumptions!$D$6+1</f>
        <v/>
      </c>
      <c r="F4" s="22">
        <f>Assumptions!$D$6+2</f>
        <v/>
      </c>
      <c r="G4" s="22">
        <f>Assumptions!$D$6+3</f>
        <v/>
      </c>
      <c r="H4" s="22">
        <f>Assumptions!$D$6+4</f>
        <v/>
      </c>
      <c r="I4" s="22">
        <f>Assumptions!$D$6+5</f>
        <v/>
      </c>
      <c r="J4" s="22">
        <f>Assumptions!$D$6+6</f>
        <v/>
      </c>
      <c r="K4" s="22">
        <f>Assumptions!$D$6+7</f>
        <v/>
      </c>
      <c r="L4" s="22">
        <f>Assumptions!$D$6+8</f>
        <v/>
      </c>
      <c r="M4" s="22">
        <f>Assumptions!$D$6+9</f>
        <v/>
      </c>
      <c r="N4" s="22">
        <f>Assumptions!$D$6+10</f>
        <v/>
      </c>
    </row>
    <row r="5" ht="15" customHeight="1">
      <c r="B5" s="10" t="inlineStr">
        <is>
          <t>Operating year flag</t>
        </is>
      </c>
      <c r="D5" s="23" t="n">
        <v>0</v>
      </c>
      <c r="E5" s="23">
        <f>IF(1&lt;=Assumptions!$D$7,1,0)</f>
        <v/>
      </c>
      <c r="F5" s="23">
        <f>IF(2&lt;=Assumptions!$D$7,1,0)</f>
        <v/>
      </c>
      <c r="G5" s="23">
        <f>IF(3&lt;=Assumptions!$D$7,1,0)</f>
        <v/>
      </c>
      <c r="H5" s="23">
        <f>IF(4&lt;=Assumptions!$D$7,1,0)</f>
        <v/>
      </c>
      <c r="I5" s="23">
        <f>IF(5&lt;=Assumptions!$D$7,1,0)</f>
        <v/>
      </c>
      <c r="J5" s="23">
        <f>IF(6&lt;=Assumptions!$D$7,1,0)</f>
        <v/>
      </c>
      <c r="K5" s="23">
        <f>IF(7&lt;=Assumptions!$D$7,1,0)</f>
        <v/>
      </c>
      <c r="L5" s="23">
        <f>IF(8&lt;=Assumptions!$D$7,1,0)</f>
        <v/>
      </c>
      <c r="M5" s="23">
        <f>IF(9&lt;=Assumptions!$D$7,1,0)</f>
        <v/>
      </c>
      <c r="N5" s="23">
        <f>IF(10&lt;=Assumptions!$D$7,1,0)</f>
        <v/>
      </c>
    </row>
    <row r="6" ht="15" customHeight="1">
      <c r="B6" s="10" t="inlineStr">
        <is>
          <t>Exit year flag</t>
        </is>
      </c>
      <c r="D6" s="23">
        <f>IF(0=Assumptions!$D$7,1,0)</f>
        <v/>
      </c>
      <c r="E6" s="23">
        <f>IF(1=Assumptions!$D$7,1,0)</f>
        <v/>
      </c>
      <c r="F6" s="23">
        <f>IF(2=Assumptions!$D$7,1,0)</f>
        <v/>
      </c>
      <c r="G6" s="23">
        <f>IF(3=Assumptions!$D$7,1,0)</f>
        <v/>
      </c>
      <c r="H6" s="23">
        <f>IF(4=Assumptions!$D$7,1,0)</f>
        <v/>
      </c>
      <c r="I6" s="23">
        <f>IF(5=Assumptions!$D$7,1,0)</f>
        <v/>
      </c>
      <c r="J6" s="23">
        <f>IF(6=Assumptions!$D$7,1,0)</f>
        <v/>
      </c>
      <c r="K6" s="23">
        <f>IF(7=Assumptions!$D$7,1,0)</f>
        <v/>
      </c>
      <c r="L6" s="23">
        <f>IF(8=Assumptions!$D$7,1,0)</f>
        <v/>
      </c>
      <c r="M6" s="23">
        <f>IF(9=Assumptions!$D$7,1,0)</f>
        <v/>
      </c>
      <c r="N6" s="23">
        <f>IF(10=Assumptions!$D$7,1,0)</f>
        <v/>
      </c>
    </row>
    <row r="7" ht="15" customHeight="1">
      <c r="B7" s="10" t="inlineStr">
        <is>
          <t>Escalation step flag (0/1)</t>
        </is>
      </c>
      <c r="D7" s="23" t="n">
        <v>0</v>
      </c>
      <c r="E7" s="23" t="n">
        <v>0</v>
      </c>
      <c r="F7" s="23">
        <f>IF(Assumptions!$D$21=0,0,IF(MOD(2-1,Assumptions!$D$21)=0,1,0))</f>
        <v/>
      </c>
      <c r="G7" s="23">
        <f>IF(Assumptions!$D$21=0,0,IF(MOD(3-1,Assumptions!$D$21)=0,1,0))</f>
        <v/>
      </c>
      <c r="H7" s="23">
        <f>IF(Assumptions!$D$21=0,0,IF(MOD(4-1,Assumptions!$D$21)=0,1,0))</f>
        <v/>
      </c>
      <c r="I7" s="23">
        <f>IF(Assumptions!$D$21=0,0,IF(MOD(5-1,Assumptions!$D$21)=0,1,0))</f>
        <v/>
      </c>
      <c r="J7" s="23">
        <f>IF(Assumptions!$D$21=0,0,IF(MOD(6-1,Assumptions!$D$21)=0,1,0))</f>
        <v/>
      </c>
      <c r="K7" s="23">
        <f>IF(Assumptions!$D$21=0,0,IF(MOD(7-1,Assumptions!$D$21)=0,1,0))</f>
        <v/>
      </c>
      <c r="L7" s="23">
        <f>IF(Assumptions!$D$21=0,0,IF(MOD(8-1,Assumptions!$D$21)=0,1,0))</f>
        <v/>
      </c>
      <c r="M7" s="23">
        <f>IF(Assumptions!$D$21=0,0,IF(MOD(9-1,Assumptions!$D$21)=0,1,0))</f>
        <v/>
      </c>
      <c r="N7" s="23">
        <f>IF(Assumptions!$D$21=0,0,IF(MOD(10-1,Assumptions!$D$21)=0,1,0))</f>
        <v/>
      </c>
    </row>
    <row r="8" ht="15" customHeight="1">
      <c r="B8" s="10" t="inlineStr">
        <is>
          <t>Cumulative escalation factor</t>
        </is>
      </c>
      <c r="D8" s="24" t="n">
        <v>1</v>
      </c>
      <c r="E8" s="24" t="n">
        <v>1</v>
      </c>
      <c r="F8" s="24">
        <f>E8*(1+F7*Assumptions!$D$20)</f>
        <v/>
      </c>
      <c r="G8" s="24">
        <f>F8*(1+G7*Assumptions!$D$20)</f>
        <v/>
      </c>
      <c r="H8" s="24">
        <f>G8*(1+H7*Assumptions!$D$20)</f>
        <v/>
      </c>
      <c r="I8" s="24">
        <f>H8*(1+I7*Assumptions!$D$20)</f>
        <v/>
      </c>
      <c r="J8" s="24">
        <f>I8*(1+J7*Assumptions!$D$20)</f>
        <v/>
      </c>
      <c r="K8" s="24">
        <f>J8*(1+K7*Assumptions!$D$20)</f>
        <v/>
      </c>
      <c r="L8" s="24">
        <f>K8*(1+L7*Assumptions!$D$20)</f>
        <v/>
      </c>
      <c r="M8" s="24">
        <f>L8*(1+M7*Assumptions!$D$20)</f>
        <v/>
      </c>
      <c r="N8" s="24">
        <f>M8*(1+N7*Assumptions!$D$20)</f>
        <v/>
      </c>
    </row>
    <row r="9" ht="15" customHeight="1">
      <c r="B9" s="10" t="inlineStr">
        <is>
          <t>OpEx inflation factor</t>
        </is>
      </c>
      <c r="D9" s="24" t="n">
        <v>1</v>
      </c>
      <c r="E9" s="24" t="n">
        <v>1</v>
      </c>
      <c r="F9" s="24">
        <f>E9*(1+Assumptions!$D$27)</f>
        <v/>
      </c>
      <c r="G9" s="24">
        <f>F9*(1+Assumptions!$D$27)</f>
        <v/>
      </c>
      <c r="H9" s="24">
        <f>G9*(1+Assumptions!$D$27)</f>
        <v/>
      </c>
      <c r="I9" s="24">
        <f>H9*(1+Assumptions!$D$27)</f>
        <v/>
      </c>
      <c r="J9" s="24">
        <f>I9*(1+Assumptions!$D$27)</f>
        <v/>
      </c>
      <c r="K9" s="24">
        <f>J9*(1+Assumptions!$D$27)</f>
        <v/>
      </c>
      <c r="L9" s="24">
        <f>K9*(1+Assumptions!$D$27)</f>
        <v/>
      </c>
      <c r="M9" s="24">
        <f>L9*(1+Assumptions!$D$27)</f>
        <v/>
      </c>
      <c r="N9" s="24">
        <f>M9*(1+Assumptions!$D$27)</f>
        <v/>
      </c>
    </row>
  </sheetData>
  <mergeCells count="1">
    <mergeCell ref="B2:N2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N8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36" customWidth="1" min="2" max="2"/>
    <col width="2" customWidth="1" min="3" max="3"/>
    <col width="13" customWidth="1" min="4" max="14"/>
  </cols>
  <sheetData>
    <row r="2" ht="27.75" customHeight="1">
      <c r="B2" s="3" t="inlineStr">
        <is>
          <t>REVENUE BUILD</t>
        </is>
      </c>
    </row>
    <row r="3" ht="15" customHeight="1">
      <c r="B3" s="9" t="inlineStr">
        <is>
          <t>Period</t>
        </is>
      </c>
      <c r="D3" s="22" t="n">
        <v>0</v>
      </c>
      <c r="E3" s="22" t="n">
        <v>1</v>
      </c>
      <c r="F3" s="22" t="n">
        <v>2</v>
      </c>
      <c r="G3" s="22" t="n">
        <v>3</v>
      </c>
      <c r="H3" s="22" t="n">
        <v>4</v>
      </c>
      <c r="I3" s="22" t="n">
        <v>5</v>
      </c>
      <c r="J3" s="22" t="n">
        <v>6</v>
      </c>
      <c r="K3" s="22" t="n">
        <v>7</v>
      </c>
      <c r="L3" s="22" t="n">
        <v>8</v>
      </c>
      <c r="M3" s="22" t="n">
        <v>9</v>
      </c>
      <c r="N3" s="22" t="n">
        <v>10</v>
      </c>
    </row>
    <row r="4" ht="15" customHeight="1">
      <c r="B4" s="9" t="inlineStr">
        <is>
          <t>Year</t>
        </is>
      </c>
      <c r="D4" s="22">
        <f>Assumptions!$D$6+0</f>
        <v/>
      </c>
      <c r="E4" s="22">
        <f>Assumptions!$D$6+1</f>
        <v/>
      </c>
      <c r="F4" s="22">
        <f>Assumptions!$D$6+2</f>
        <v/>
      </c>
      <c r="G4" s="22">
        <f>Assumptions!$D$6+3</f>
        <v/>
      </c>
      <c r="H4" s="22">
        <f>Assumptions!$D$6+4</f>
        <v/>
      </c>
      <c r="I4" s="22">
        <f>Assumptions!$D$6+5</f>
        <v/>
      </c>
      <c r="J4" s="22">
        <f>Assumptions!$D$6+6</f>
        <v/>
      </c>
      <c r="K4" s="22">
        <f>Assumptions!$D$6+7</f>
        <v/>
      </c>
      <c r="L4" s="22">
        <f>Assumptions!$D$6+8</f>
        <v/>
      </c>
      <c r="M4" s="22">
        <f>Assumptions!$D$6+9</f>
        <v/>
      </c>
      <c r="N4" s="22">
        <f>Assumptions!$D$6+10</f>
        <v/>
      </c>
    </row>
    <row r="5" ht="15" customHeight="1">
      <c r="B5" s="10" t="inlineStr">
        <is>
          <t>Gross potential revenue</t>
        </is>
      </c>
      <c r="D5" s="25">
        <f>Assumptions!$D$19*Timeline!D8*Timeline!D5</f>
        <v/>
      </c>
      <c r="E5" s="25">
        <f>Assumptions!$D$19*Timeline!E8*Timeline!E5</f>
        <v/>
      </c>
      <c r="F5" s="25">
        <f>Assumptions!$D$19*Timeline!F8*Timeline!F5</f>
        <v/>
      </c>
      <c r="G5" s="25">
        <f>Assumptions!$D$19*Timeline!G8*Timeline!G5</f>
        <v/>
      </c>
      <c r="H5" s="25">
        <f>Assumptions!$D$19*Timeline!H8*Timeline!H5</f>
        <v/>
      </c>
      <c r="I5" s="25">
        <f>Assumptions!$D$19*Timeline!I8*Timeline!I5</f>
        <v/>
      </c>
      <c r="J5" s="25">
        <f>Assumptions!$D$19*Timeline!J8*Timeline!J5</f>
        <v/>
      </c>
      <c r="K5" s="25">
        <f>Assumptions!$D$19*Timeline!K8*Timeline!K5</f>
        <v/>
      </c>
      <c r="L5" s="25">
        <f>Assumptions!$D$19*Timeline!L8*Timeline!L5</f>
        <v/>
      </c>
      <c r="M5" s="25">
        <f>Assumptions!$D$19*Timeline!M8*Timeline!M5</f>
        <v/>
      </c>
      <c r="N5" s="25">
        <f>Assumptions!$D$19*Timeline!N8*Timeline!N5</f>
        <v/>
      </c>
    </row>
    <row r="6" ht="15" customHeight="1">
      <c r="B6" s="10" t="inlineStr">
        <is>
          <t xml:space="preserve">  Vacancy / collection loss</t>
        </is>
      </c>
      <c r="D6" s="25">
        <f>-D5*Assumptions!$D$22</f>
        <v/>
      </c>
      <c r="E6" s="25">
        <f>-E5*Assumptions!$D$22</f>
        <v/>
      </c>
      <c r="F6" s="25">
        <f>-F5*Assumptions!$D$22</f>
        <v/>
      </c>
      <c r="G6" s="25">
        <f>-G5*Assumptions!$D$22</f>
        <v/>
      </c>
      <c r="H6" s="25">
        <f>-H5*Assumptions!$D$22</f>
        <v/>
      </c>
      <c r="I6" s="25">
        <f>-I5*Assumptions!$D$22</f>
        <v/>
      </c>
      <c r="J6" s="25">
        <f>-J5*Assumptions!$D$22</f>
        <v/>
      </c>
      <c r="K6" s="25">
        <f>-K5*Assumptions!$D$22</f>
        <v/>
      </c>
      <c r="L6" s="25">
        <f>-L5*Assumptions!$D$22</f>
        <v/>
      </c>
      <c r="M6" s="25">
        <f>-M5*Assumptions!$D$22</f>
        <v/>
      </c>
      <c r="N6" s="25">
        <f>-N5*Assumptions!$D$22</f>
        <v/>
      </c>
    </row>
    <row r="7" ht="15" customHeight="1">
      <c r="B7" s="26" t="inlineStr">
        <is>
          <t>EFFECTIVE GROSS INCOME (EGI)</t>
        </is>
      </c>
      <c r="D7" s="27">
        <f>D5+D6</f>
        <v/>
      </c>
      <c r="E7" s="27">
        <f>E5+E6</f>
        <v/>
      </c>
      <c r="F7" s="27">
        <f>F5+F6</f>
        <v/>
      </c>
      <c r="G7" s="27">
        <f>G5+G6</f>
        <v/>
      </c>
      <c r="H7" s="27">
        <f>H5+H6</f>
        <v/>
      </c>
      <c r="I7" s="27">
        <f>I5+I6</f>
        <v/>
      </c>
      <c r="J7" s="27">
        <f>J5+J6</f>
        <v/>
      </c>
      <c r="K7" s="27">
        <f>K5+K6</f>
        <v/>
      </c>
      <c r="L7" s="27">
        <f>L5+L6</f>
        <v/>
      </c>
      <c r="M7" s="27">
        <f>M5+M6</f>
        <v/>
      </c>
      <c r="N7" s="27">
        <f>N5+N6</f>
        <v/>
      </c>
    </row>
    <row r="8" ht="15" customHeight="1">
      <c r="B8" s="10" t="inlineStr">
        <is>
          <t xml:space="preserve">  YoY EGI growth</t>
        </is>
      </c>
      <c r="D8" s="5" t="n"/>
      <c r="E8" s="28">
        <f>IFERROR(IF(D7=0,0,E7/D7-1),0)</f>
        <v/>
      </c>
      <c r="F8" s="28">
        <f>IFERROR(IF(E7=0,0,F7/E7-1),0)</f>
        <v/>
      </c>
      <c r="G8" s="28">
        <f>IFERROR(IF(F7=0,0,G7/F7-1),0)</f>
        <v/>
      </c>
      <c r="H8" s="28">
        <f>IFERROR(IF(G7=0,0,H7/G7-1),0)</f>
        <v/>
      </c>
      <c r="I8" s="28">
        <f>IFERROR(IF(H7=0,0,I7/H7-1),0)</f>
        <v/>
      </c>
      <c r="J8" s="28">
        <f>IFERROR(IF(I7=0,0,J7/I7-1),0)</f>
        <v/>
      </c>
      <c r="K8" s="28">
        <f>IFERROR(IF(J7=0,0,K7/J7-1),0)</f>
        <v/>
      </c>
      <c r="L8" s="28">
        <f>IFERROR(IF(K7=0,0,L7/K7-1),0)</f>
        <v/>
      </c>
      <c r="M8" s="28">
        <f>IFERROR(IF(L7=0,0,M7/L7-1),0)</f>
        <v/>
      </c>
      <c r="N8" s="28">
        <f>IFERROR(IF(M7=0,0,N7/M7-1),0)</f>
        <v/>
      </c>
    </row>
  </sheetData>
  <mergeCells count="1">
    <mergeCell ref="B2:N2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40" customWidth="1" min="2" max="2"/>
    <col width="2" customWidth="1" min="3" max="3"/>
    <col width="13" customWidth="1" min="4" max="14"/>
  </cols>
  <sheetData>
    <row r="2" ht="27.75" customHeight="1">
      <c r="B2" s="3" t="inlineStr">
        <is>
          <t>OPERATING EXPENSES &amp; CAPITAL EXPENDITURE</t>
        </is>
      </c>
    </row>
    <row r="3" ht="15" customHeight="1">
      <c r="B3" s="9" t="inlineStr">
        <is>
          <t>Period</t>
        </is>
      </c>
      <c r="D3" s="22" t="n">
        <v>0</v>
      </c>
      <c r="E3" s="22" t="n">
        <v>1</v>
      </c>
      <c r="F3" s="22" t="n">
        <v>2</v>
      </c>
      <c r="G3" s="22" t="n">
        <v>3</v>
      </c>
      <c r="H3" s="22" t="n">
        <v>4</v>
      </c>
      <c r="I3" s="22" t="n">
        <v>5</v>
      </c>
      <c r="J3" s="22" t="n">
        <v>6</v>
      </c>
      <c r="K3" s="22" t="n">
        <v>7</v>
      </c>
      <c r="L3" s="22" t="n">
        <v>8</v>
      </c>
      <c r="M3" s="22" t="n">
        <v>9</v>
      </c>
      <c r="N3" s="22" t="n">
        <v>10</v>
      </c>
    </row>
    <row r="4" ht="15" customHeight="1">
      <c r="B4" s="9" t="inlineStr">
        <is>
          <t>Year</t>
        </is>
      </c>
      <c r="D4" s="22">
        <f>Assumptions!$D$6+0</f>
        <v/>
      </c>
      <c r="E4" s="22">
        <f>Assumptions!$D$6+1</f>
        <v/>
      </c>
      <c r="F4" s="22">
        <f>Assumptions!$D$6+2</f>
        <v/>
      </c>
      <c r="G4" s="22">
        <f>Assumptions!$D$6+3</f>
        <v/>
      </c>
      <c r="H4" s="22">
        <f>Assumptions!$D$6+4</f>
        <v/>
      </c>
      <c r="I4" s="22">
        <f>Assumptions!$D$6+5</f>
        <v/>
      </c>
      <c r="J4" s="22">
        <f>Assumptions!$D$6+6</f>
        <v/>
      </c>
      <c r="K4" s="22">
        <f>Assumptions!$D$6+7</f>
        <v/>
      </c>
      <c r="L4" s="22">
        <f>Assumptions!$D$6+8</f>
        <v/>
      </c>
      <c r="M4" s="22">
        <f>Assumptions!$D$6+9</f>
        <v/>
      </c>
      <c r="N4" s="22">
        <f>Assumptions!$D$6+10</f>
        <v/>
      </c>
    </row>
    <row r="5" ht="15" customHeight="1">
      <c r="B5" s="2" t="inlineStr">
        <is>
          <t>ASSET-LEVEL OPERATING EXPENSES</t>
        </is>
      </c>
    </row>
    <row r="6" ht="15" customHeight="1">
      <c r="B6" s="10" t="inlineStr">
        <is>
          <t xml:space="preserve">  Operating expenses (OpEx)</t>
        </is>
      </c>
      <c r="D6" s="25">
        <f>-Revenue!D7*Assumptions!$D$25*Timeline!D9/Timeline!E9</f>
        <v/>
      </c>
      <c r="E6" s="25">
        <f>-Revenue!E7*Assumptions!$D$25*Timeline!E9/Timeline!E9</f>
        <v/>
      </c>
      <c r="F6" s="25">
        <f>-Revenue!F7*Assumptions!$D$25*Timeline!F9/Timeline!E9</f>
        <v/>
      </c>
      <c r="G6" s="25">
        <f>-Revenue!G7*Assumptions!$D$25*Timeline!G9/Timeline!E9</f>
        <v/>
      </c>
      <c r="H6" s="25">
        <f>-Revenue!H7*Assumptions!$D$25*Timeline!H9/Timeline!E9</f>
        <v/>
      </c>
      <c r="I6" s="25">
        <f>-Revenue!I7*Assumptions!$D$25*Timeline!I9/Timeline!E9</f>
        <v/>
      </c>
      <c r="J6" s="25">
        <f>-Revenue!J7*Assumptions!$D$25*Timeline!J9/Timeline!E9</f>
        <v/>
      </c>
      <c r="K6" s="25">
        <f>-Revenue!K7*Assumptions!$D$25*Timeline!K9/Timeline!E9</f>
        <v/>
      </c>
      <c r="L6" s="25">
        <f>-Revenue!L7*Assumptions!$D$25*Timeline!L9/Timeline!E9</f>
        <v/>
      </c>
      <c r="M6" s="25">
        <f>-Revenue!M7*Assumptions!$D$25*Timeline!M9/Timeline!E9</f>
        <v/>
      </c>
      <c r="N6" s="25">
        <f>-Revenue!N7*Assumptions!$D$25*Timeline!N9/Timeline!E9</f>
        <v/>
      </c>
    </row>
    <row r="7" ht="15" customHeight="1">
      <c r="B7" s="10" t="inlineStr">
        <is>
          <t xml:space="preserve">  Property / municipal tax</t>
        </is>
      </c>
      <c r="D7" s="25">
        <f>-Revenue!D7*Assumptions!$D$26</f>
        <v/>
      </c>
      <c r="E7" s="25">
        <f>-Revenue!E7*Assumptions!$D$26</f>
        <v/>
      </c>
      <c r="F7" s="25">
        <f>-Revenue!F7*Assumptions!$D$26</f>
        <v/>
      </c>
      <c r="G7" s="25">
        <f>-Revenue!G7*Assumptions!$D$26</f>
        <v/>
      </c>
      <c r="H7" s="25">
        <f>-Revenue!H7*Assumptions!$D$26</f>
        <v/>
      </c>
      <c r="I7" s="25">
        <f>-Revenue!I7*Assumptions!$D$26</f>
        <v/>
      </c>
      <c r="J7" s="25">
        <f>-Revenue!J7*Assumptions!$D$26</f>
        <v/>
      </c>
      <c r="K7" s="25">
        <f>-Revenue!K7*Assumptions!$D$26</f>
        <v/>
      </c>
      <c r="L7" s="25">
        <f>-Revenue!L7*Assumptions!$D$26</f>
        <v/>
      </c>
      <c r="M7" s="25">
        <f>-Revenue!M7*Assumptions!$D$26</f>
        <v/>
      </c>
      <c r="N7" s="25">
        <f>-Revenue!N7*Assumptions!$D$26</f>
        <v/>
      </c>
    </row>
    <row r="8" ht="15" customHeight="1">
      <c r="B8" s="26" t="inlineStr">
        <is>
          <t>TOTAL ASSET OPERATING EXPENSES</t>
        </is>
      </c>
      <c r="D8" s="27">
        <f>D6+D7</f>
        <v/>
      </c>
      <c r="E8" s="27">
        <f>E6+E7</f>
        <v/>
      </c>
      <c r="F8" s="27">
        <f>F6+F7</f>
        <v/>
      </c>
      <c r="G8" s="27">
        <f>G6+G7</f>
        <v/>
      </c>
      <c r="H8" s="27">
        <f>H6+H7</f>
        <v/>
      </c>
      <c r="I8" s="27">
        <f>I6+I7</f>
        <v/>
      </c>
      <c r="J8" s="27">
        <f>J6+J7</f>
        <v/>
      </c>
      <c r="K8" s="27">
        <f>K6+K7</f>
        <v/>
      </c>
      <c r="L8" s="27">
        <f>L6+L7</f>
        <v/>
      </c>
      <c r="M8" s="27">
        <f>M6+M7</f>
        <v/>
      </c>
      <c r="N8" s="27">
        <f>N6+N7</f>
        <v/>
      </c>
    </row>
    <row r="9" ht="15" customHeight="1">
      <c r="B9" s="26" t="inlineStr">
        <is>
          <t>NET OPERATING INCOME (NOI)</t>
        </is>
      </c>
      <c r="D9" s="27">
        <f>Revenue!D7+D8</f>
        <v/>
      </c>
      <c r="E9" s="27">
        <f>Revenue!E7+E8</f>
        <v/>
      </c>
      <c r="F9" s="27">
        <f>Revenue!F7+F8</f>
        <v/>
      </c>
      <c r="G9" s="27">
        <f>Revenue!G7+G8</f>
        <v/>
      </c>
      <c r="H9" s="27">
        <f>Revenue!H7+H8</f>
        <v/>
      </c>
      <c r="I9" s="27">
        <f>Revenue!I7+I8</f>
        <v/>
      </c>
      <c r="J9" s="27">
        <f>Revenue!J7+J8</f>
        <v/>
      </c>
      <c r="K9" s="27">
        <f>Revenue!K7+K8</f>
        <v/>
      </c>
      <c r="L9" s="27">
        <f>Revenue!L7+L8</f>
        <v/>
      </c>
      <c r="M9" s="27">
        <f>Revenue!M7+M8</f>
        <v/>
      </c>
      <c r="N9" s="27">
        <f>Revenue!N7+N8</f>
        <v/>
      </c>
    </row>
    <row r="10" ht="15" customHeight="1">
      <c r="B10" s="10" t="inlineStr">
        <is>
          <t xml:space="preserve">  NOI margin</t>
        </is>
      </c>
      <c r="D10" s="29">
        <f>IFERROR(IF(Revenue!D7=0,0,D9/Revenue!D7),0)</f>
        <v/>
      </c>
      <c r="E10" s="29">
        <f>IFERROR(IF(Revenue!E7=0,0,E9/Revenue!E7),0)</f>
        <v/>
      </c>
      <c r="F10" s="29">
        <f>IFERROR(IF(Revenue!F7=0,0,F9/Revenue!F7),0)</f>
        <v/>
      </c>
      <c r="G10" s="29">
        <f>IFERROR(IF(Revenue!G7=0,0,G9/Revenue!G7),0)</f>
        <v/>
      </c>
      <c r="H10" s="29">
        <f>IFERROR(IF(Revenue!H7=0,0,H9/Revenue!H7),0)</f>
        <v/>
      </c>
      <c r="I10" s="29">
        <f>IFERROR(IF(Revenue!I7=0,0,I9/Revenue!I7),0)</f>
        <v/>
      </c>
      <c r="J10" s="29">
        <f>IFERROR(IF(Revenue!J7=0,0,J9/Revenue!J7),0)</f>
        <v/>
      </c>
      <c r="K10" s="29">
        <f>IFERROR(IF(Revenue!K7=0,0,K9/Revenue!K7),0)</f>
        <v/>
      </c>
      <c r="L10" s="29">
        <f>IFERROR(IF(Revenue!L7=0,0,L9/Revenue!L7),0)</f>
        <v/>
      </c>
      <c r="M10" s="29">
        <f>IFERROR(IF(Revenue!M7=0,0,M9/Revenue!M7),0)</f>
        <v/>
      </c>
      <c r="N10" s="29">
        <f>IFERROR(IF(Revenue!N7=0,0,N9/Revenue!N7),0)</f>
        <v/>
      </c>
    </row>
    <row r="12" ht="15" customHeight="1">
      <c r="B12" s="2" t="inlineStr">
        <is>
          <t>CORPORATE / FUND-LEVEL COSTS (below NOI)</t>
        </is>
      </c>
    </row>
    <row r="13" ht="15" customHeight="1">
      <c r="B13" s="10" t="inlineStr">
        <is>
          <t xml:space="preserve">  Management fee (% NAV proxy: total cost)</t>
        </is>
      </c>
      <c r="D13" s="25">
        <f>-Assumptions!$D$16*Assumptions!$D$30*Timeline!D5</f>
        <v/>
      </c>
      <c r="E13" s="25">
        <f>-Assumptions!$D$16*Assumptions!$D$30*Timeline!E5</f>
        <v/>
      </c>
      <c r="F13" s="25">
        <f>-Assumptions!$D$16*Assumptions!$D$30*Timeline!F5</f>
        <v/>
      </c>
      <c r="G13" s="25">
        <f>-Assumptions!$D$16*Assumptions!$D$30*Timeline!G5</f>
        <v/>
      </c>
      <c r="H13" s="25">
        <f>-Assumptions!$D$16*Assumptions!$D$30*Timeline!H5</f>
        <v/>
      </c>
      <c r="I13" s="25">
        <f>-Assumptions!$D$16*Assumptions!$D$30*Timeline!I5</f>
        <v/>
      </c>
      <c r="J13" s="25">
        <f>-Assumptions!$D$16*Assumptions!$D$30*Timeline!J5</f>
        <v/>
      </c>
      <c r="K13" s="25">
        <f>-Assumptions!$D$16*Assumptions!$D$30*Timeline!K5</f>
        <v/>
      </c>
      <c r="L13" s="25">
        <f>-Assumptions!$D$16*Assumptions!$D$30*Timeline!L5</f>
        <v/>
      </c>
      <c r="M13" s="25">
        <f>-Assumptions!$D$16*Assumptions!$D$30*Timeline!M5</f>
        <v/>
      </c>
      <c r="N13" s="25">
        <f>-Assumptions!$D$16*Assumptions!$D$30*Timeline!N5</f>
        <v/>
      </c>
    </row>
    <row r="14" ht="15" customHeight="1">
      <c r="B14" s="10" t="inlineStr">
        <is>
          <t xml:space="preserve">  Custodian fee</t>
        </is>
      </c>
      <c r="D14" s="25">
        <f>-Assumptions!$D$16*Assumptions!$D$31*Timeline!D5</f>
        <v/>
      </c>
      <c r="E14" s="25">
        <f>-Assumptions!$D$16*Assumptions!$D$31*Timeline!E5</f>
        <v/>
      </c>
      <c r="F14" s="25">
        <f>-Assumptions!$D$16*Assumptions!$D$31*Timeline!F5</f>
        <v/>
      </c>
      <c r="G14" s="25">
        <f>-Assumptions!$D$16*Assumptions!$D$31*Timeline!G5</f>
        <v/>
      </c>
      <c r="H14" s="25">
        <f>-Assumptions!$D$16*Assumptions!$D$31*Timeline!H5</f>
        <v/>
      </c>
      <c r="I14" s="25">
        <f>-Assumptions!$D$16*Assumptions!$D$31*Timeline!I5</f>
        <v/>
      </c>
      <c r="J14" s="25">
        <f>-Assumptions!$D$16*Assumptions!$D$31*Timeline!J5</f>
        <v/>
      </c>
      <c r="K14" s="25">
        <f>-Assumptions!$D$16*Assumptions!$D$31*Timeline!K5</f>
        <v/>
      </c>
      <c r="L14" s="25">
        <f>-Assumptions!$D$16*Assumptions!$D$31*Timeline!L5</f>
        <v/>
      </c>
      <c r="M14" s="25">
        <f>-Assumptions!$D$16*Assumptions!$D$31*Timeline!M5</f>
        <v/>
      </c>
      <c r="N14" s="25">
        <f>-Assumptions!$D$16*Assumptions!$D$31*Timeline!N5</f>
        <v/>
      </c>
    </row>
    <row r="15" ht="15" customHeight="1">
      <c r="B15" s="10" t="inlineStr">
        <is>
          <t xml:space="preserve">  Fund admin fee</t>
        </is>
      </c>
      <c r="D15" s="25">
        <f>-Assumptions!$D$16*Assumptions!$D$32*Timeline!D5</f>
        <v/>
      </c>
      <c r="E15" s="25">
        <f>-Assumptions!$D$16*Assumptions!$D$32*Timeline!E5</f>
        <v/>
      </c>
      <c r="F15" s="25">
        <f>-Assumptions!$D$16*Assumptions!$D$32*Timeline!F5</f>
        <v/>
      </c>
      <c r="G15" s="25">
        <f>-Assumptions!$D$16*Assumptions!$D$32*Timeline!G5</f>
        <v/>
      </c>
      <c r="H15" s="25">
        <f>-Assumptions!$D$16*Assumptions!$D$32*Timeline!H5</f>
        <v/>
      </c>
      <c r="I15" s="25">
        <f>-Assumptions!$D$16*Assumptions!$D$32*Timeline!I5</f>
        <v/>
      </c>
      <c r="J15" s="25">
        <f>-Assumptions!$D$16*Assumptions!$D$32*Timeline!J5</f>
        <v/>
      </c>
      <c r="K15" s="25">
        <f>-Assumptions!$D$16*Assumptions!$D$32*Timeline!K5</f>
        <v/>
      </c>
      <c r="L15" s="25">
        <f>-Assumptions!$D$16*Assumptions!$D$32*Timeline!L5</f>
        <v/>
      </c>
      <c r="M15" s="25">
        <f>-Assumptions!$D$16*Assumptions!$D$32*Timeline!M5</f>
        <v/>
      </c>
      <c r="N15" s="25">
        <f>-Assumptions!$D$16*Assumptions!$D$32*Timeline!N5</f>
        <v/>
      </c>
    </row>
    <row r="16" ht="15" customHeight="1">
      <c r="B16" s="10" t="inlineStr">
        <is>
          <t xml:space="preserve">  Other fixed annual expenses</t>
        </is>
      </c>
      <c r="D16" s="25">
        <f>-Assumptions!$D$33*Timeline!D9*Timeline!D5</f>
        <v/>
      </c>
      <c r="E16" s="25">
        <f>-Assumptions!$D$33*Timeline!E9*Timeline!E5</f>
        <v/>
      </c>
      <c r="F16" s="25">
        <f>-Assumptions!$D$33*Timeline!F9*Timeline!F5</f>
        <v/>
      </c>
      <c r="G16" s="25">
        <f>-Assumptions!$D$33*Timeline!G9*Timeline!G5</f>
        <v/>
      </c>
      <c r="H16" s="25">
        <f>-Assumptions!$D$33*Timeline!H9*Timeline!H5</f>
        <v/>
      </c>
      <c r="I16" s="25">
        <f>-Assumptions!$D$33*Timeline!I9*Timeline!I5</f>
        <v/>
      </c>
      <c r="J16" s="25">
        <f>-Assumptions!$D$33*Timeline!J9*Timeline!J5</f>
        <v/>
      </c>
      <c r="K16" s="25">
        <f>-Assumptions!$D$33*Timeline!K9*Timeline!K5</f>
        <v/>
      </c>
      <c r="L16" s="25">
        <f>-Assumptions!$D$33*Timeline!L9*Timeline!L5</f>
        <v/>
      </c>
      <c r="M16" s="25">
        <f>-Assumptions!$D$33*Timeline!M9*Timeline!M5</f>
        <v/>
      </c>
      <c r="N16" s="25">
        <f>-Assumptions!$D$33*Timeline!N9*Timeline!N5</f>
        <v/>
      </c>
    </row>
    <row r="17" ht="15" customHeight="1">
      <c r="B17" s="26" t="inlineStr">
        <is>
          <t>TOTAL CORPORATE COSTS</t>
        </is>
      </c>
      <c r="D17" s="27">
        <f>SUM(D13:D16)</f>
        <v/>
      </c>
      <c r="E17" s="27">
        <f>SUM(E13:E16)</f>
        <v/>
      </c>
      <c r="F17" s="27">
        <f>SUM(F13:F16)</f>
        <v/>
      </c>
      <c r="G17" s="27">
        <f>SUM(G13:G16)</f>
        <v/>
      </c>
      <c r="H17" s="27">
        <f>SUM(H13:H16)</f>
        <v/>
      </c>
      <c r="I17" s="27">
        <f>SUM(I13:I16)</f>
        <v/>
      </c>
      <c r="J17" s="27">
        <f>SUM(J13:J16)</f>
        <v/>
      </c>
      <c r="K17" s="27">
        <f>SUM(K13:K16)</f>
        <v/>
      </c>
      <c r="L17" s="27">
        <f>SUM(L13:L16)</f>
        <v/>
      </c>
      <c r="M17" s="27">
        <f>SUM(M13:M16)</f>
        <v/>
      </c>
      <c r="N17" s="27">
        <f>SUM(N13:N16)</f>
        <v/>
      </c>
    </row>
    <row r="18" ht="15" customHeight="1">
      <c r="B18" s="26" t="inlineStr">
        <is>
          <t>EBITDA (NOI − Corporate costs)</t>
        </is>
      </c>
      <c r="D18" s="27">
        <f>D9+D17</f>
        <v/>
      </c>
      <c r="E18" s="27">
        <f>E9+E17</f>
        <v/>
      </c>
      <c r="F18" s="27">
        <f>F9+F17</f>
        <v/>
      </c>
      <c r="G18" s="27">
        <f>G9+G17</f>
        <v/>
      </c>
      <c r="H18" s="27">
        <f>H9+H17</f>
        <v/>
      </c>
      <c r="I18" s="27">
        <f>I9+I17</f>
        <v/>
      </c>
      <c r="J18" s="27">
        <f>J9+J17</f>
        <v/>
      </c>
      <c r="K18" s="27">
        <f>K9+K17</f>
        <v/>
      </c>
      <c r="L18" s="27">
        <f>L9+L17</f>
        <v/>
      </c>
      <c r="M18" s="27">
        <f>M9+M17</f>
        <v/>
      </c>
      <c r="N18" s="27">
        <f>N9+N17</f>
        <v/>
      </c>
    </row>
    <row r="20" ht="15" customHeight="1">
      <c r="B20" s="2" t="inlineStr">
        <is>
          <t>CAPITAL EXPENDITURE</t>
        </is>
      </c>
    </row>
    <row r="21" ht="15" customHeight="1">
      <c r="B21" s="10" t="inlineStr">
        <is>
          <t xml:space="preserve">  Maintenance CapEx (% EGI)</t>
        </is>
      </c>
      <c r="D21" s="25">
        <f>-Revenue!D7*Assumptions!$D$36</f>
        <v/>
      </c>
      <c r="E21" s="25">
        <f>-Revenue!E7*Assumptions!$D$36</f>
        <v/>
      </c>
      <c r="F21" s="25">
        <f>-Revenue!F7*Assumptions!$D$36</f>
        <v/>
      </c>
      <c r="G21" s="25">
        <f>-Revenue!G7*Assumptions!$D$36</f>
        <v/>
      </c>
      <c r="H21" s="25">
        <f>-Revenue!H7*Assumptions!$D$36</f>
        <v/>
      </c>
      <c r="I21" s="25">
        <f>-Revenue!I7*Assumptions!$D$36</f>
        <v/>
      </c>
      <c r="J21" s="25">
        <f>-Revenue!J7*Assumptions!$D$36</f>
        <v/>
      </c>
      <c r="K21" s="25">
        <f>-Revenue!K7*Assumptions!$D$36</f>
        <v/>
      </c>
      <c r="L21" s="25">
        <f>-Revenue!L7*Assumptions!$D$36</f>
        <v/>
      </c>
      <c r="M21" s="25">
        <f>-Revenue!M7*Assumptions!$D$36</f>
        <v/>
      </c>
      <c r="N21" s="25">
        <f>-Revenue!N7*Assumptions!$D$36</f>
        <v/>
      </c>
    </row>
    <row r="22" ht="15" customHeight="1">
      <c r="B22" s="10" t="inlineStr">
        <is>
          <t xml:space="preserve">  Major refurbishment</t>
        </is>
      </c>
      <c r="D22" s="25">
        <f>IF(0=Assumptions!$D$38,-Assumptions!$D$37,0)</f>
        <v/>
      </c>
      <c r="E22" s="25">
        <f>IF(1=Assumptions!$D$38,-Assumptions!$D$37,0)</f>
        <v/>
      </c>
      <c r="F22" s="25">
        <f>IF(2=Assumptions!$D$38,-Assumptions!$D$37,0)</f>
        <v/>
      </c>
      <c r="G22" s="25">
        <f>IF(3=Assumptions!$D$38,-Assumptions!$D$37,0)</f>
        <v/>
      </c>
      <c r="H22" s="25">
        <f>IF(4=Assumptions!$D$38,-Assumptions!$D$37,0)</f>
        <v/>
      </c>
      <c r="I22" s="25">
        <f>IF(5=Assumptions!$D$38,-Assumptions!$D$37,0)</f>
        <v/>
      </c>
      <c r="J22" s="25">
        <f>IF(6=Assumptions!$D$38,-Assumptions!$D$37,0)</f>
        <v/>
      </c>
      <c r="K22" s="25">
        <f>IF(7=Assumptions!$D$38,-Assumptions!$D$37,0)</f>
        <v/>
      </c>
      <c r="L22" s="25">
        <f>IF(8=Assumptions!$D$38,-Assumptions!$D$37,0)</f>
        <v/>
      </c>
      <c r="M22" s="25">
        <f>IF(9=Assumptions!$D$38,-Assumptions!$D$37,0)</f>
        <v/>
      </c>
      <c r="N22" s="25">
        <f>IF(10=Assumptions!$D$38,-Assumptions!$D$37,0)</f>
        <v/>
      </c>
    </row>
    <row r="23" ht="15" customHeight="1">
      <c r="B23" s="26" t="inlineStr">
        <is>
          <t>TOTAL CAPEX</t>
        </is>
      </c>
      <c r="D23" s="27">
        <f>D21+D22</f>
        <v/>
      </c>
      <c r="E23" s="27">
        <f>E21+E22</f>
        <v/>
      </c>
      <c r="F23" s="27">
        <f>F21+F22</f>
        <v/>
      </c>
      <c r="G23" s="27">
        <f>G21+G22</f>
        <v/>
      </c>
      <c r="H23" s="27">
        <f>H21+H22</f>
        <v/>
      </c>
      <c r="I23" s="27">
        <f>I21+I22</f>
        <v/>
      </c>
      <c r="J23" s="27">
        <f>J21+J22</f>
        <v/>
      </c>
      <c r="K23" s="27">
        <f>K21+K22</f>
        <v/>
      </c>
      <c r="L23" s="27">
        <f>L21+L22</f>
        <v/>
      </c>
      <c r="M23" s="27">
        <f>M21+M22</f>
        <v/>
      </c>
      <c r="N23" s="27">
        <f>N21+N22</f>
        <v/>
      </c>
    </row>
  </sheetData>
  <mergeCells count="4">
    <mergeCell ref="B5:N5"/>
    <mergeCell ref="B2:N2"/>
    <mergeCell ref="B20:N20"/>
    <mergeCell ref="B12:N12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N19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36" customWidth="1" min="2" max="2"/>
    <col width="2" customWidth="1" min="3" max="3"/>
    <col width="13" customWidth="1" min="4" max="14"/>
  </cols>
  <sheetData>
    <row r="2" ht="27.75" customHeight="1">
      <c r="B2" s="3" t="inlineStr">
        <is>
          <t>DEBT SCHEDULE</t>
        </is>
      </c>
    </row>
    <row r="3" ht="15" customHeight="1">
      <c r="B3" s="9" t="inlineStr">
        <is>
          <t>Period</t>
        </is>
      </c>
      <c r="D3" s="22" t="n">
        <v>0</v>
      </c>
      <c r="E3" s="22" t="n">
        <v>1</v>
      </c>
      <c r="F3" s="22" t="n">
        <v>2</v>
      </c>
      <c r="G3" s="22" t="n">
        <v>3</v>
      </c>
      <c r="H3" s="22" t="n">
        <v>4</v>
      </c>
      <c r="I3" s="22" t="n">
        <v>5</v>
      </c>
      <c r="J3" s="22" t="n">
        <v>6</v>
      </c>
      <c r="K3" s="22" t="n">
        <v>7</v>
      </c>
      <c r="L3" s="22" t="n">
        <v>8</v>
      </c>
      <c r="M3" s="22" t="n">
        <v>9</v>
      </c>
      <c r="N3" s="22" t="n">
        <v>10</v>
      </c>
    </row>
    <row r="4" ht="15" customHeight="1">
      <c r="B4" s="9" t="inlineStr">
        <is>
          <t>Year</t>
        </is>
      </c>
      <c r="D4" s="22">
        <f>Assumptions!$D$6+0</f>
        <v/>
      </c>
      <c r="E4" s="22">
        <f>Assumptions!$D$6+1</f>
        <v/>
      </c>
      <c r="F4" s="22">
        <f>Assumptions!$D$6+2</f>
        <v/>
      </c>
      <c r="G4" s="22">
        <f>Assumptions!$D$6+3</f>
        <v/>
      </c>
      <c r="H4" s="22">
        <f>Assumptions!$D$6+4</f>
        <v/>
      </c>
      <c r="I4" s="22">
        <f>Assumptions!$D$6+5</f>
        <v/>
      </c>
      <c r="J4" s="22">
        <f>Assumptions!$D$6+6</f>
        <v/>
      </c>
      <c r="K4" s="22">
        <f>Assumptions!$D$6+7</f>
        <v/>
      </c>
      <c r="L4" s="22">
        <f>Assumptions!$D$6+8</f>
        <v/>
      </c>
      <c r="M4" s="22">
        <f>Assumptions!$D$6+9</f>
        <v/>
      </c>
      <c r="N4" s="22">
        <f>Assumptions!$D$6+10</f>
        <v/>
      </c>
    </row>
    <row r="5" ht="15" customHeight="1">
      <c r="B5" s="10" t="inlineStr">
        <is>
          <t>Opening balance</t>
        </is>
      </c>
      <c r="D5" s="25" t="n">
        <v>0</v>
      </c>
      <c r="E5" s="25">
        <f>D9</f>
        <v/>
      </c>
      <c r="F5" s="25">
        <f>E9</f>
        <v/>
      </c>
      <c r="G5" s="25">
        <f>F9</f>
        <v/>
      </c>
      <c r="H5" s="25">
        <f>G9</f>
        <v/>
      </c>
      <c r="I5" s="25">
        <f>H9</f>
        <v/>
      </c>
      <c r="J5" s="25">
        <f>I9</f>
        <v/>
      </c>
      <c r="K5" s="25">
        <f>J9</f>
        <v/>
      </c>
      <c r="L5" s="25">
        <f>K9</f>
        <v/>
      </c>
      <c r="M5" s="25">
        <f>L9</f>
        <v/>
      </c>
      <c r="N5" s="25">
        <f>M9</f>
        <v/>
      </c>
    </row>
    <row r="6" ht="15" customHeight="1">
      <c r="B6" s="10" t="inlineStr">
        <is>
          <t xml:space="preserve">  Drawdown</t>
        </is>
      </c>
      <c r="D6" s="25">
        <f>Assumptions!$D$47</f>
        <v/>
      </c>
      <c r="E6" s="25" t="n">
        <v>0</v>
      </c>
      <c r="F6" s="25" t="n">
        <v>0</v>
      </c>
      <c r="G6" s="25" t="n">
        <v>0</v>
      </c>
      <c r="H6" s="25" t="n">
        <v>0</v>
      </c>
      <c r="I6" s="25" t="n">
        <v>0</v>
      </c>
      <c r="J6" s="25" t="n">
        <v>0</v>
      </c>
      <c r="K6" s="25" t="n">
        <v>0</v>
      </c>
      <c r="L6" s="25" t="n">
        <v>0</v>
      </c>
      <c r="M6" s="25" t="n">
        <v>0</v>
      </c>
      <c r="N6" s="25" t="n">
        <v>0</v>
      </c>
    </row>
    <row r="7" ht="15" customHeight="1">
      <c r="B7" s="10" t="inlineStr">
        <is>
          <t xml:space="preserve">  Scheduled principal repayment</t>
        </is>
      </c>
      <c r="D7" s="25" t="n">
        <v>0</v>
      </c>
      <c r="E7" s="25">
        <f>-IF(AND(Assumptions!$D$44=1,1&gt;Assumptions!$D$46,1&lt;Assumptions!$D$7,Assumptions!$D$45-Assumptions!$D$46&gt;0),Assumptions!$D$47/(Assumptions!$D$45-Assumptions!$D$46),0)</f>
        <v/>
      </c>
      <c r="F7" s="25">
        <f>-IF(AND(Assumptions!$D$44=1,2&gt;Assumptions!$D$46,2&lt;Assumptions!$D$7,Assumptions!$D$45-Assumptions!$D$46&gt;0),Assumptions!$D$47/(Assumptions!$D$45-Assumptions!$D$46),0)</f>
        <v/>
      </c>
      <c r="G7" s="25">
        <f>-IF(AND(Assumptions!$D$44=1,3&gt;Assumptions!$D$46,3&lt;Assumptions!$D$7,Assumptions!$D$45-Assumptions!$D$46&gt;0),Assumptions!$D$47/(Assumptions!$D$45-Assumptions!$D$46),0)</f>
        <v/>
      </c>
      <c r="H7" s="25">
        <f>-IF(AND(Assumptions!$D$44=1,4&gt;Assumptions!$D$46,4&lt;Assumptions!$D$7,Assumptions!$D$45-Assumptions!$D$46&gt;0),Assumptions!$D$47/(Assumptions!$D$45-Assumptions!$D$46),0)</f>
        <v/>
      </c>
      <c r="I7" s="25">
        <f>-IF(AND(Assumptions!$D$44=1,5&gt;Assumptions!$D$46,5&lt;Assumptions!$D$7,Assumptions!$D$45-Assumptions!$D$46&gt;0),Assumptions!$D$47/(Assumptions!$D$45-Assumptions!$D$46),0)</f>
        <v/>
      </c>
      <c r="J7" s="25">
        <f>-IF(AND(Assumptions!$D$44=1,6&gt;Assumptions!$D$46,6&lt;Assumptions!$D$7,Assumptions!$D$45-Assumptions!$D$46&gt;0),Assumptions!$D$47/(Assumptions!$D$45-Assumptions!$D$46),0)</f>
        <v/>
      </c>
      <c r="K7" s="25">
        <f>-IF(AND(Assumptions!$D$44=1,7&gt;Assumptions!$D$46,7&lt;Assumptions!$D$7,Assumptions!$D$45-Assumptions!$D$46&gt;0),Assumptions!$D$47/(Assumptions!$D$45-Assumptions!$D$46),0)</f>
        <v/>
      </c>
      <c r="L7" s="25">
        <f>-IF(AND(Assumptions!$D$44=1,8&gt;Assumptions!$D$46,8&lt;Assumptions!$D$7,Assumptions!$D$45-Assumptions!$D$46&gt;0),Assumptions!$D$47/(Assumptions!$D$45-Assumptions!$D$46),0)</f>
        <v/>
      </c>
      <c r="M7" s="25">
        <f>-IF(AND(Assumptions!$D$44=1,9&gt;Assumptions!$D$46,9&lt;Assumptions!$D$7,Assumptions!$D$45-Assumptions!$D$46&gt;0),Assumptions!$D$47/(Assumptions!$D$45-Assumptions!$D$46),0)</f>
        <v/>
      </c>
      <c r="N7" s="25">
        <f>-IF(AND(Assumptions!$D$44=1,10&gt;Assumptions!$D$46,10&lt;Assumptions!$D$7,Assumptions!$D$45-Assumptions!$D$46&gt;0),Assumptions!$D$47/(Assumptions!$D$45-Assumptions!$D$46),0)</f>
        <v/>
      </c>
    </row>
    <row r="8" ht="15" customHeight="1">
      <c r="B8" s="10" t="inlineStr">
        <is>
          <t xml:space="preserve">  Bullet repayment at exit</t>
        </is>
      </c>
      <c r="D8" s="25" t="n">
        <v>0</v>
      </c>
      <c r="E8" s="25">
        <f>-IF(1=Assumptions!$D$7,E5+E6+E7,0)</f>
        <v/>
      </c>
      <c r="F8" s="25">
        <f>-IF(2=Assumptions!$D$7,F5+F6+F7,0)</f>
        <v/>
      </c>
      <c r="G8" s="25">
        <f>-IF(3=Assumptions!$D$7,G5+G6+G7,0)</f>
        <v/>
      </c>
      <c r="H8" s="25">
        <f>-IF(4=Assumptions!$D$7,H5+H6+H7,0)</f>
        <v/>
      </c>
      <c r="I8" s="25">
        <f>-IF(5=Assumptions!$D$7,I5+I6+I7,0)</f>
        <v/>
      </c>
      <c r="J8" s="25">
        <f>-IF(6=Assumptions!$D$7,J5+J6+J7,0)</f>
        <v/>
      </c>
      <c r="K8" s="25">
        <f>-IF(7=Assumptions!$D$7,K5+K6+K7,0)</f>
        <v/>
      </c>
      <c r="L8" s="25">
        <f>-IF(8=Assumptions!$D$7,L5+L6+L7,0)</f>
        <v/>
      </c>
      <c r="M8" s="25">
        <f>-IF(9=Assumptions!$D$7,M5+M6+M7,0)</f>
        <v/>
      </c>
      <c r="N8" s="25">
        <f>-IF(10=Assumptions!$D$7,N5+N6+N7,0)</f>
        <v/>
      </c>
    </row>
    <row r="9" ht="15" customHeight="1">
      <c r="B9" s="26" t="inlineStr">
        <is>
          <t>CLOSING BALANCE</t>
        </is>
      </c>
      <c r="D9" s="27">
        <f>D5+D6+D7+D8</f>
        <v/>
      </c>
      <c r="E9" s="27">
        <f>E5+E6+E7+E8</f>
        <v/>
      </c>
      <c r="F9" s="27">
        <f>F5+F6+F7+F8</f>
        <v/>
      </c>
      <c r="G9" s="27">
        <f>G5+G6+G7+G8</f>
        <v/>
      </c>
      <c r="H9" s="27">
        <f>H5+H6+H7+H8</f>
        <v/>
      </c>
      <c r="I9" s="27">
        <f>I5+I6+I7+I8</f>
        <v/>
      </c>
      <c r="J9" s="27">
        <f>J5+J6+J7+J8</f>
        <v/>
      </c>
      <c r="K9" s="27">
        <f>K5+K6+K7+K8</f>
        <v/>
      </c>
      <c r="L9" s="27">
        <f>L5+L6+L7+L8</f>
        <v/>
      </c>
      <c r="M9" s="27">
        <f>M5+M6+M7+M8</f>
        <v/>
      </c>
      <c r="N9" s="27">
        <f>N5+N6+N7+N8</f>
        <v/>
      </c>
    </row>
    <row r="10" ht="15" customHeight="1">
      <c r="B10" s="10" t="inlineStr">
        <is>
          <t xml:space="preserve">  Interest expense</t>
        </is>
      </c>
      <c r="D10" s="25" t="n">
        <v>0</v>
      </c>
      <c r="E10" s="25">
        <f>-E5*Assumptions!$D$42*Timeline!E5</f>
        <v/>
      </c>
      <c r="F10" s="25">
        <f>-F5*Assumptions!$D$42*Timeline!F5</f>
        <v/>
      </c>
      <c r="G10" s="25">
        <f>-G5*Assumptions!$D$42*Timeline!G5</f>
        <v/>
      </c>
      <c r="H10" s="25">
        <f>-H5*Assumptions!$D$42*Timeline!H5</f>
        <v/>
      </c>
      <c r="I10" s="25">
        <f>-I5*Assumptions!$D$42*Timeline!I5</f>
        <v/>
      </c>
      <c r="J10" s="25">
        <f>-J5*Assumptions!$D$42*Timeline!J5</f>
        <v/>
      </c>
      <c r="K10" s="25">
        <f>-K5*Assumptions!$D$42*Timeline!K5</f>
        <v/>
      </c>
      <c r="L10" s="25">
        <f>-L5*Assumptions!$D$42*Timeline!L5</f>
        <v/>
      </c>
      <c r="M10" s="25">
        <f>-M5*Assumptions!$D$42*Timeline!M5</f>
        <v/>
      </c>
      <c r="N10" s="25">
        <f>-N5*Assumptions!$D$42*Timeline!N5</f>
        <v/>
      </c>
    </row>
    <row r="11" ht="15" customHeight="1">
      <c r="B11" s="10" t="inlineStr">
        <is>
          <t xml:space="preserve">  Arrangement fee (one-off)</t>
        </is>
      </c>
      <c r="D11" s="25">
        <f>-Assumptions!$D$47*Assumptions!$D$43</f>
        <v/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  <c r="N11" s="25" t="n">
        <v>0</v>
      </c>
    </row>
    <row r="12" ht="15" customHeight="1">
      <c r="B12" s="26" t="inlineStr">
        <is>
          <t>TOTAL DEBT SERVICE (interest + principal)</t>
        </is>
      </c>
      <c r="D12" s="27">
        <f>D7+D8+D10+D11</f>
        <v/>
      </c>
      <c r="E12" s="27">
        <f>E7+E8+E10+E11</f>
        <v/>
      </c>
      <c r="F12" s="27">
        <f>F7+F8+F10+F11</f>
        <v/>
      </c>
      <c r="G12" s="27">
        <f>G7+G8+G10+G11</f>
        <v/>
      </c>
      <c r="H12" s="27">
        <f>H7+H8+H10+H11</f>
        <v/>
      </c>
      <c r="I12" s="27">
        <f>I7+I8+I10+I11</f>
        <v/>
      </c>
      <c r="J12" s="27">
        <f>J7+J8+J10+J11</f>
        <v/>
      </c>
      <c r="K12" s="27">
        <f>K7+K8+K10+K11</f>
        <v/>
      </c>
      <c r="L12" s="27">
        <f>L7+L8+L10+L11</f>
        <v/>
      </c>
      <c r="M12" s="27">
        <f>M7+M8+M10+M11</f>
        <v/>
      </c>
      <c r="N12" s="27">
        <f>N7+N8+N10+N11</f>
        <v/>
      </c>
    </row>
    <row r="14" ht="15" customHeight="1">
      <c r="B14" s="2" t="inlineStr">
        <is>
          <t>COVERAGE RATIOS (per year)</t>
        </is>
      </c>
    </row>
    <row r="15" ht="15" customHeight="1">
      <c r="B15" s="10" t="inlineStr">
        <is>
          <t>Interest Coverage (NOI / |Interest|)</t>
        </is>
      </c>
      <c r="D15" s="30">
        <f>IFERROR(IF(D10=0,999,OpEx_CapEx!D9/ABS(D10)),999)</f>
        <v/>
      </c>
      <c r="E15" s="30">
        <f>IFERROR(IF(E10=0,999,OpEx_CapEx!E9/ABS(E10)),999)</f>
        <v/>
      </c>
      <c r="F15" s="30">
        <f>IFERROR(IF(F10=0,999,OpEx_CapEx!F9/ABS(F10)),999)</f>
        <v/>
      </c>
      <c r="G15" s="30">
        <f>IFERROR(IF(G10=0,999,OpEx_CapEx!G9/ABS(G10)),999)</f>
        <v/>
      </c>
      <c r="H15" s="30">
        <f>IFERROR(IF(H10=0,999,OpEx_CapEx!H9/ABS(H10)),999)</f>
        <v/>
      </c>
      <c r="I15" s="30">
        <f>IFERROR(IF(I10=0,999,OpEx_CapEx!I9/ABS(I10)),999)</f>
        <v/>
      </c>
      <c r="J15" s="30">
        <f>IFERROR(IF(J10=0,999,OpEx_CapEx!J9/ABS(J10)),999)</f>
        <v/>
      </c>
      <c r="K15" s="30">
        <f>IFERROR(IF(K10=0,999,OpEx_CapEx!K9/ABS(K10)),999)</f>
        <v/>
      </c>
      <c r="L15" s="30">
        <f>IFERROR(IF(L10=0,999,OpEx_CapEx!L9/ABS(L10)),999)</f>
        <v/>
      </c>
      <c r="M15" s="30">
        <f>IFERROR(IF(M10=0,999,OpEx_CapEx!M9/ABS(M10)),999)</f>
        <v/>
      </c>
      <c r="N15" s="30">
        <f>IFERROR(IF(N10=0,999,OpEx_CapEx!N9/ABS(N10)),999)</f>
        <v/>
      </c>
    </row>
    <row r="16" ht="15" customHeight="1">
      <c r="B16" s="10" t="inlineStr">
        <is>
          <t>DSCR (NOI / (|Interest|+|Principal|+|Bullet|))</t>
        </is>
      </c>
      <c r="D16" s="30">
        <f>IFERROR(IF(ABS(D10)+ABS(D7)+ABS(D8)=0,999,OpEx_CapEx!D9/(ABS(D10)+ABS(D7)+ABS(D8))),999)</f>
        <v/>
      </c>
      <c r="E16" s="30">
        <f>IFERROR(IF(ABS(E10)+ABS(E7)+ABS(E8)=0,999,OpEx_CapEx!E9/(ABS(E10)+ABS(E7)+ABS(E8))),999)</f>
        <v/>
      </c>
      <c r="F16" s="30">
        <f>IFERROR(IF(ABS(F10)+ABS(F7)+ABS(F8)=0,999,OpEx_CapEx!F9/(ABS(F10)+ABS(F7)+ABS(F8))),999)</f>
        <v/>
      </c>
      <c r="G16" s="30">
        <f>IFERROR(IF(ABS(G10)+ABS(G7)+ABS(G8)=0,999,OpEx_CapEx!G9/(ABS(G10)+ABS(G7)+ABS(G8))),999)</f>
        <v/>
      </c>
      <c r="H16" s="30">
        <f>IFERROR(IF(ABS(H10)+ABS(H7)+ABS(H8)=0,999,OpEx_CapEx!H9/(ABS(H10)+ABS(H7)+ABS(H8))),999)</f>
        <v/>
      </c>
      <c r="I16" s="30">
        <f>IFERROR(IF(ABS(I10)+ABS(I7)+ABS(I8)=0,999,OpEx_CapEx!I9/(ABS(I10)+ABS(I7)+ABS(I8))),999)</f>
        <v/>
      </c>
      <c r="J16" s="30">
        <f>IFERROR(IF(ABS(J10)+ABS(J7)+ABS(J8)=0,999,OpEx_CapEx!J9/(ABS(J10)+ABS(J7)+ABS(J8))),999)</f>
        <v/>
      </c>
      <c r="K16" s="30">
        <f>IFERROR(IF(ABS(K10)+ABS(K7)+ABS(K8)=0,999,OpEx_CapEx!K9/(ABS(K10)+ABS(K7)+ABS(K8))),999)</f>
        <v/>
      </c>
      <c r="L16" s="30">
        <f>IFERROR(IF(ABS(L10)+ABS(L7)+ABS(L8)=0,999,OpEx_CapEx!L9/(ABS(L10)+ABS(L7)+ABS(L8))),999)</f>
        <v/>
      </c>
      <c r="M16" s="30">
        <f>IFERROR(IF(ABS(M10)+ABS(M7)+ABS(M8)=0,999,OpEx_CapEx!M9/(ABS(M10)+ABS(M7)+ABS(M8))),999)</f>
        <v/>
      </c>
      <c r="N16" s="30">
        <f>IFERROR(IF(ABS(N10)+ABS(N7)+ABS(N8)=0,999,OpEx_CapEx!N9/(ABS(N10)+ABS(N7)+ABS(N8))),999)</f>
        <v/>
      </c>
    </row>
    <row r="17" ht="15" customHeight="1">
      <c r="B17" s="10" t="inlineStr">
        <is>
          <t>LTV (Debt / Asset Value at acquisition)</t>
        </is>
      </c>
      <c r="D17" s="29">
        <f>IFERROR(IF(Assumptions!$D$16=0,0,D9/Assumptions!$D$16),0)</f>
        <v/>
      </c>
      <c r="E17" s="29">
        <f>IFERROR(IF(Assumptions!$D$16=0,0,E9/Assumptions!$D$16),0)</f>
        <v/>
      </c>
      <c r="F17" s="29">
        <f>IFERROR(IF(Assumptions!$D$16=0,0,F9/Assumptions!$D$16),0)</f>
        <v/>
      </c>
      <c r="G17" s="29">
        <f>IFERROR(IF(Assumptions!$D$16=0,0,G9/Assumptions!$D$16),0)</f>
        <v/>
      </c>
      <c r="H17" s="29">
        <f>IFERROR(IF(Assumptions!$D$16=0,0,H9/Assumptions!$D$16),0)</f>
        <v/>
      </c>
      <c r="I17" s="29">
        <f>IFERROR(IF(Assumptions!$D$16=0,0,I9/Assumptions!$D$16),0)</f>
        <v/>
      </c>
      <c r="J17" s="29">
        <f>IFERROR(IF(Assumptions!$D$16=0,0,J9/Assumptions!$D$16),0)</f>
        <v/>
      </c>
      <c r="K17" s="29">
        <f>IFERROR(IF(Assumptions!$D$16=0,0,K9/Assumptions!$D$16),0)</f>
        <v/>
      </c>
      <c r="L17" s="29">
        <f>IFERROR(IF(Assumptions!$D$16=0,0,L9/Assumptions!$D$16),0)</f>
        <v/>
      </c>
      <c r="M17" s="29">
        <f>IFERROR(IF(Assumptions!$D$16=0,0,M9/Assumptions!$D$16),0)</f>
        <v/>
      </c>
      <c r="N17" s="29">
        <f>IFERROR(IF(Assumptions!$D$16=0,0,N9/Assumptions!$D$16),0)</f>
        <v/>
      </c>
    </row>
    <row r="18" ht="15" customHeight="1">
      <c r="B18" s="10" t="inlineStr">
        <is>
          <t>Debt yield (NOI / Debt outstanding)</t>
        </is>
      </c>
      <c r="D18" s="29">
        <f>IFERROR(IF(D9=0,"",OpEx_CapEx!D9/D9),"")</f>
        <v/>
      </c>
      <c r="E18" s="29">
        <f>IFERROR(IF(E9=0,"",OpEx_CapEx!E9/E9),"")</f>
        <v/>
      </c>
      <c r="F18" s="29">
        <f>IFERROR(IF(F9=0,"",OpEx_CapEx!F9/F9),"")</f>
        <v/>
      </c>
      <c r="G18" s="29">
        <f>IFERROR(IF(G9=0,"",OpEx_CapEx!G9/G9),"")</f>
        <v/>
      </c>
      <c r="H18" s="29">
        <f>IFERROR(IF(H9=0,"",OpEx_CapEx!H9/H9),"")</f>
        <v/>
      </c>
      <c r="I18" s="29">
        <f>IFERROR(IF(I9=0,"",OpEx_CapEx!I9/I9),"")</f>
        <v/>
      </c>
      <c r="J18" s="29">
        <f>IFERROR(IF(J9=0,"",OpEx_CapEx!J9/J9),"")</f>
        <v/>
      </c>
      <c r="K18" s="29">
        <f>IFERROR(IF(K9=0,"",OpEx_CapEx!K9/K9),"")</f>
        <v/>
      </c>
      <c r="L18" s="29">
        <f>IFERROR(IF(L9=0,"",OpEx_CapEx!L9/L9),"")</f>
        <v/>
      </c>
      <c r="M18" s="29">
        <f>IFERROR(IF(M9=0,"",OpEx_CapEx!M9/M9),"")</f>
        <v/>
      </c>
      <c r="N18" s="29">
        <f>IFERROR(IF(N9=0,"",OpEx_CapEx!N9/N9),"")</f>
        <v/>
      </c>
    </row>
    <row r="19">
      <c r="B19" s="58" t="inlineStr">
        <is>
          <t>Operating DSCR (interest + scheduled principal only)</t>
        </is>
      </c>
      <c r="D19" s="72">
        <f>IFERROR(IF(ABS(D10)+ABS(D7)=0,999,OpEx_CapEx!D9/(ABS(D10)+ABS(D7))),999)</f>
        <v/>
      </c>
      <c r="E19" s="72">
        <f>IFERROR(IF(ABS(E10)+ABS(E7)=0,999,OpEx_CapEx!E9/(ABS(E10)+ABS(E7))),999)</f>
        <v/>
      </c>
      <c r="F19" s="72">
        <f>IFERROR(IF(ABS(F10)+ABS(F7)=0,999,OpEx_CapEx!F9/(ABS(F10)+ABS(F7))),999)</f>
        <v/>
      </c>
      <c r="G19" s="72">
        <f>IFERROR(IF(ABS(G10)+ABS(G7)=0,999,OpEx_CapEx!G9/(ABS(G10)+ABS(G7))),999)</f>
        <v/>
      </c>
      <c r="H19" s="72">
        <f>IFERROR(IF(ABS(H10)+ABS(H7)=0,999,OpEx_CapEx!H9/(ABS(H10)+ABS(H7))),999)</f>
        <v/>
      </c>
      <c r="I19" s="72">
        <f>IFERROR(IF(ABS(I10)+ABS(I7)=0,999,OpEx_CapEx!I9/(ABS(I10)+ABS(I7))),999)</f>
        <v/>
      </c>
      <c r="J19" s="72">
        <f>IFERROR(IF(ABS(J10)+ABS(J7)=0,999,OpEx_CapEx!J9/(ABS(J10)+ABS(J7))),999)</f>
        <v/>
      </c>
      <c r="K19" s="72">
        <f>IFERROR(IF(ABS(K10)+ABS(K7)=0,999,OpEx_CapEx!K9/(ABS(K10)+ABS(K7))),999)</f>
        <v/>
      </c>
      <c r="L19" s="72">
        <f>IFERROR(IF(ABS(L10)+ABS(L7)=0,999,OpEx_CapEx!L9/(ABS(L10)+ABS(L7))),999)</f>
        <v/>
      </c>
      <c r="M19" s="72">
        <f>IFERROR(IF(ABS(M10)+ABS(M7)=0,999,OpEx_CapEx!M9/(ABS(M10)+ABS(M7))),999)</f>
        <v/>
      </c>
      <c r="N19" s="72">
        <f>IFERROR(IF(ABS(N10)+ABS(N7)=0,999,OpEx_CapEx!N9/(ABS(N10)+ABS(N7))),999)</f>
        <v/>
      </c>
    </row>
  </sheetData>
  <mergeCells count="2">
    <mergeCell ref="B2:N2"/>
    <mergeCell ref="B14:N14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AQ2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</cols>
  <sheetData>
    <row r="2">
      <c r="B2" s="73" t="inlineStr">
        <is>
          <t>QUARTERLY DEBT SERVICE — covenant &amp; DSCR testing (40 quarters)</t>
        </is>
      </c>
    </row>
    <row r="3">
      <c r="B3" s="52" t="inlineStr">
        <is>
          <t>Mirrors annual debt schedule at quarterly granularity. NOI approximated as annual / 4 (assumes flat intra-year).</t>
        </is>
      </c>
    </row>
    <row r="5">
      <c r="B5" s="65" t="inlineStr">
        <is>
          <t>Quarter</t>
        </is>
      </c>
      <c r="C5" s="65" t="inlineStr">
        <is>
          <t>Q0</t>
        </is>
      </c>
      <c r="D5" s="65" t="inlineStr">
        <is>
          <t>Q1</t>
        </is>
      </c>
      <c r="E5" s="65" t="inlineStr">
        <is>
          <t>Q2</t>
        </is>
      </c>
      <c r="F5" s="65" t="inlineStr">
        <is>
          <t>Q3</t>
        </is>
      </c>
      <c r="G5" s="65" t="inlineStr">
        <is>
          <t>Q4</t>
        </is>
      </c>
      <c r="H5" s="65" t="inlineStr">
        <is>
          <t>Q5</t>
        </is>
      </c>
      <c r="I5" s="65" t="inlineStr">
        <is>
          <t>Q6</t>
        </is>
      </c>
      <c r="J5" s="65" t="inlineStr">
        <is>
          <t>Q7</t>
        </is>
      </c>
      <c r="K5" s="65" t="inlineStr">
        <is>
          <t>Q8</t>
        </is>
      </c>
      <c r="L5" s="65" t="inlineStr">
        <is>
          <t>Q9</t>
        </is>
      </c>
      <c r="M5" s="65" t="inlineStr">
        <is>
          <t>Q10</t>
        </is>
      </c>
      <c r="N5" s="65" t="inlineStr">
        <is>
          <t>Q11</t>
        </is>
      </c>
      <c r="O5" s="65" t="inlineStr">
        <is>
          <t>Q12</t>
        </is>
      </c>
      <c r="P5" s="65" t="inlineStr">
        <is>
          <t>Q13</t>
        </is>
      </c>
      <c r="Q5" s="65" t="inlineStr">
        <is>
          <t>Q14</t>
        </is>
      </c>
      <c r="R5" s="65" t="inlineStr">
        <is>
          <t>Q15</t>
        </is>
      </c>
      <c r="S5" s="65" t="inlineStr">
        <is>
          <t>Q16</t>
        </is>
      </c>
      <c r="T5" s="65" t="inlineStr">
        <is>
          <t>Q17</t>
        </is>
      </c>
      <c r="U5" s="65" t="inlineStr">
        <is>
          <t>Q18</t>
        </is>
      </c>
      <c r="V5" s="65" t="inlineStr">
        <is>
          <t>Q19</t>
        </is>
      </c>
      <c r="W5" s="65" t="inlineStr">
        <is>
          <t>Q20</t>
        </is>
      </c>
      <c r="X5" s="65" t="inlineStr">
        <is>
          <t>Q21</t>
        </is>
      </c>
      <c r="Y5" s="65" t="inlineStr">
        <is>
          <t>Q22</t>
        </is>
      </c>
      <c r="Z5" s="65" t="inlineStr">
        <is>
          <t>Q23</t>
        </is>
      </c>
      <c r="AA5" s="65" t="inlineStr">
        <is>
          <t>Q24</t>
        </is>
      </c>
      <c r="AB5" s="65" t="inlineStr">
        <is>
          <t>Q25</t>
        </is>
      </c>
      <c r="AC5" s="65" t="inlineStr">
        <is>
          <t>Q26</t>
        </is>
      </c>
      <c r="AD5" s="65" t="inlineStr">
        <is>
          <t>Q27</t>
        </is>
      </c>
      <c r="AE5" s="65" t="inlineStr">
        <is>
          <t>Q28</t>
        </is>
      </c>
      <c r="AF5" s="65" t="inlineStr">
        <is>
          <t>Q29</t>
        </is>
      </c>
      <c r="AG5" s="65" t="inlineStr">
        <is>
          <t>Q30</t>
        </is>
      </c>
      <c r="AH5" s="65" t="inlineStr">
        <is>
          <t>Q31</t>
        </is>
      </c>
      <c r="AI5" s="65" t="inlineStr">
        <is>
          <t>Q32</t>
        </is>
      </c>
      <c r="AJ5" s="65" t="inlineStr">
        <is>
          <t>Q33</t>
        </is>
      </c>
      <c r="AK5" s="65" t="inlineStr">
        <is>
          <t>Q34</t>
        </is>
      </c>
      <c r="AL5" s="65" t="inlineStr">
        <is>
          <t>Q35</t>
        </is>
      </c>
      <c r="AM5" s="65" t="inlineStr">
        <is>
          <t>Q36</t>
        </is>
      </c>
      <c r="AN5" s="65" t="inlineStr">
        <is>
          <t>Q37</t>
        </is>
      </c>
      <c r="AO5" s="65" t="inlineStr">
        <is>
          <t>Q38</t>
        </is>
      </c>
      <c r="AP5" s="65" t="inlineStr">
        <is>
          <t>Q39</t>
        </is>
      </c>
      <c r="AQ5" s="65" t="inlineStr">
        <is>
          <t>Q40</t>
        </is>
      </c>
    </row>
    <row r="6">
      <c r="B6" s="65" t="inlineStr">
        <is>
          <t>Calendar year</t>
        </is>
      </c>
      <c r="C6" s="74">
        <f>Assumptions!$D$6+0</f>
        <v/>
      </c>
      <c r="D6" s="74">
        <f>Assumptions!$D$6+0</f>
        <v/>
      </c>
      <c r="E6" s="74">
        <f>Assumptions!$D$6+0</f>
        <v/>
      </c>
      <c r="F6" s="74">
        <f>Assumptions!$D$6+0</f>
        <v/>
      </c>
      <c r="G6" s="74">
        <f>Assumptions!$D$6+1</f>
        <v/>
      </c>
      <c r="H6" s="74">
        <f>Assumptions!$D$6+1</f>
        <v/>
      </c>
      <c r="I6" s="74">
        <f>Assumptions!$D$6+1</f>
        <v/>
      </c>
      <c r="J6" s="74">
        <f>Assumptions!$D$6+1</f>
        <v/>
      </c>
      <c r="K6" s="74">
        <f>Assumptions!$D$6+2</f>
        <v/>
      </c>
      <c r="L6" s="74">
        <f>Assumptions!$D$6+2</f>
        <v/>
      </c>
      <c r="M6" s="74">
        <f>Assumptions!$D$6+2</f>
        <v/>
      </c>
      <c r="N6" s="74">
        <f>Assumptions!$D$6+2</f>
        <v/>
      </c>
      <c r="O6" s="74">
        <f>Assumptions!$D$6+3</f>
        <v/>
      </c>
      <c r="P6" s="74">
        <f>Assumptions!$D$6+3</f>
        <v/>
      </c>
      <c r="Q6" s="74">
        <f>Assumptions!$D$6+3</f>
        <v/>
      </c>
      <c r="R6" s="74">
        <f>Assumptions!$D$6+3</f>
        <v/>
      </c>
      <c r="S6" s="74">
        <f>Assumptions!$D$6+4</f>
        <v/>
      </c>
      <c r="T6" s="74">
        <f>Assumptions!$D$6+4</f>
        <v/>
      </c>
      <c r="U6" s="74">
        <f>Assumptions!$D$6+4</f>
        <v/>
      </c>
      <c r="V6" s="74">
        <f>Assumptions!$D$6+4</f>
        <v/>
      </c>
      <c r="W6" s="74">
        <f>Assumptions!$D$6+5</f>
        <v/>
      </c>
      <c r="X6" s="74">
        <f>Assumptions!$D$6+5</f>
        <v/>
      </c>
      <c r="Y6" s="74">
        <f>Assumptions!$D$6+5</f>
        <v/>
      </c>
      <c r="Z6" s="74">
        <f>Assumptions!$D$6+5</f>
        <v/>
      </c>
      <c r="AA6" s="74">
        <f>Assumptions!$D$6+6</f>
        <v/>
      </c>
      <c r="AB6" s="74">
        <f>Assumptions!$D$6+6</f>
        <v/>
      </c>
      <c r="AC6" s="74">
        <f>Assumptions!$D$6+6</f>
        <v/>
      </c>
      <c r="AD6" s="74">
        <f>Assumptions!$D$6+6</f>
        <v/>
      </c>
      <c r="AE6" s="74">
        <f>Assumptions!$D$6+7</f>
        <v/>
      </c>
      <c r="AF6" s="74">
        <f>Assumptions!$D$6+7</f>
        <v/>
      </c>
      <c r="AG6" s="74">
        <f>Assumptions!$D$6+7</f>
        <v/>
      </c>
      <c r="AH6" s="74">
        <f>Assumptions!$D$6+7</f>
        <v/>
      </c>
      <c r="AI6" s="74">
        <f>Assumptions!$D$6+8</f>
        <v/>
      </c>
      <c r="AJ6" s="74">
        <f>Assumptions!$D$6+8</f>
        <v/>
      </c>
      <c r="AK6" s="74">
        <f>Assumptions!$D$6+8</f>
        <v/>
      </c>
      <c r="AL6" s="74">
        <f>Assumptions!$D$6+8</f>
        <v/>
      </c>
      <c r="AM6" s="74">
        <f>Assumptions!$D$6+9</f>
        <v/>
      </c>
      <c r="AN6" s="74">
        <f>Assumptions!$D$6+9</f>
        <v/>
      </c>
      <c r="AO6" s="74">
        <f>Assumptions!$D$6+9</f>
        <v/>
      </c>
      <c r="AP6" s="74">
        <f>Assumptions!$D$6+9</f>
        <v/>
      </c>
      <c r="AQ6" s="74">
        <f>Assumptions!$D$6+10</f>
        <v/>
      </c>
    </row>
    <row r="7">
      <c r="B7" s="58" t="inlineStr">
        <is>
          <t>Operating flag</t>
        </is>
      </c>
      <c r="C7" s="74">
        <f>IF(AND(0&gt;=1,0&lt;=Assumptions!$D$7),1,0)</f>
        <v/>
      </c>
      <c r="D7" s="74">
        <f>IF(AND(0&gt;=1,0&lt;=Assumptions!$D$7),1,0)</f>
        <v/>
      </c>
      <c r="E7" s="74">
        <f>IF(AND(0&gt;=1,0&lt;=Assumptions!$D$7),1,0)</f>
        <v/>
      </c>
      <c r="F7" s="74">
        <f>IF(AND(0&gt;=1,0&lt;=Assumptions!$D$7),1,0)</f>
        <v/>
      </c>
      <c r="G7" s="74">
        <f>IF(AND(1&gt;=1,1&lt;=Assumptions!$D$7),1,0)</f>
        <v/>
      </c>
      <c r="H7" s="74">
        <f>IF(AND(1&gt;=1,1&lt;=Assumptions!$D$7),1,0)</f>
        <v/>
      </c>
      <c r="I7" s="74">
        <f>IF(AND(1&gt;=1,1&lt;=Assumptions!$D$7),1,0)</f>
        <v/>
      </c>
      <c r="J7" s="74">
        <f>IF(AND(1&gt;=1,1&lt;=Assumptions!$D$7),1,0)</f>
        <v/>
      </c>
      <c r="K7" s="74">
        <f>IF(AND(2&gt;=1,2&lt;=Assumptions!$D$7),1,0)</f>
        <v/>
      </c>
      <c r="L7" s="74">
        <f>IF(AND(2&gt;=1,2&lt;=Assumptions!$D$7),1,0)</f>
        <v/>
      </c>
      <c r="M7" s="74">
        <f>IF(AND(2&gt;=1,2&lt;=Assumptions!$D$7),1,0)</f>
        <v/>
      </c>
      <c r="N7" s="74">
        <f>IF(AND(2&gt;=1,2&lt;=Assumptions!$D$7),1,0)</f>
        <v/>
      </c>
      <c r="O7" s="74">
        <f>IF(AND(3&gt;=1,3&lt;=Assumptions!$D$7),1,0)</f>
        <v/>
      </c>
      <c r="P7" s="74">
        <f>IF(AND(3&gt;=1,3&lt;=Assumptions!$D$7),1,0)</f>
        <v/>
      </c>
      <c r="Q7" s="74">
        <f>IF(AND(3&gt;=1,3&lt;=Assumptions!$D$7),1,0)</f>
        <v/>
      </c>
      <c r="R7" s="74">
        <f>IF(AND(3&gt;=1,3&lt;=Assumptions!$D$7),1,0)</f>
        <v/>
      </c>
      <c r="S7" s="74">
        <f>IF(AND(4&gt;=1,4&lt;=Assumptions!$D$7),1,0)</f>
        <v/>
      </c>
      <c r="T7" s="74">
        <f>IF(AND(4&gt;=1,4&lt;=Assumptions!$D$7),1,0)</f>
        <v/>
      </c>
      <c r="U7" s="74">
        <f>IF(AND(4&gt;=1,4&lt;=Assumptions!$D$7),1,0)</f>
        <v/>
      </c>
      <c r="V7" s="74">
        <f>IF(AND(4&gt;=1,4&lt;=Assumptions!$D$7),1,0)</f>
        <v/>
      </c>
      <c r="W7" s="74">
        <f>IF(AND(5&gt;=1,5&lt;=Assumptions!$D$7),1,0)</f>
        <v/>
      </c>
      <c r="X7" s="74">
        <f>IF(AND(5&gt;=1,5&lt;=Assumptions!$D$7),1,0)</f>
        <v/>
      </c>
      <c r="Y7" s="74">
        <f>IF(AND(5&gt;=1,5&lt;=Assumptions!$D$7),1,0)</f>
        <v/>
      </c>
      <c r="Z7" s="74">
        <f>IF(AND(5&gt;=1,5&lt;=Assumptions!$D$7),1,0)</f>
        <v/>
      </c>
      <c r="AA7" s="74">
        <f>IF(AND(6&gt;=1,6&lt;=Assumptions!$D$7),1,0)</f>
        <v/>
      </c>
      <c r="AB7" s="74">
        <f>IF(AND(6&gt;=1,6&lt;=Assumptions!$D$7),1,0)</f>
        <v/>
      </c>
      <c r="AC7" s="74">
        <f>IF(AND(6&gt;=1,6&lt;=Assumptions!$D$7),1,0)</f>
        <v/>
      </c>
      <c r="AD7" s="74">
        <f>IF(AND(6&gt;=1,6&lt;=Assumptions!$D$7),1,0)</f>
        <v/>
      </c>
      <c r="AE7" s="74">
        <f>IF(AND(7&gt;=1,7&lt;=Assumptions!$D$7),1,0)</f>
        <v/>
      </c>
      <c r="AF7" s="74">
        <f>IF(AND(7&gt;=1,7&lt;=Assumptions!$D$7),1,0)</f>
        <v/>
      </c>
      <c r="AG7" s="74">
        <f>IF(AND(7&gt;=1,7&lt;=Assumptions!$D$7),1,0)</f>
        <v/>
      </c>
      <c r="AH7" s="74">
        <f>IF(AND(7&gt;=1,7&lt;=Assumptions!$D$7),1,0)</f>
        <v/>
      </c>
      <c r="AI7" s="74">
        <f>IF(AND(8&gt;=1,8&lt;=Assumptions!$D$7),1,0)</f>
        <v/>
      </c>
      <c r="AJ7" s="74">
        <f>IF(AND(8&gt;=1,8&lt;=Assumptions!$D$7),1,0)</f>
        <v/>
      </c>
      <c r="AK7" s="74">
        <f>IF(AND(8&gt;=1,8&lt;=Assumptions!$D$7),1,0)</f>
        <v/>
      </c>
      <c r="AL7" s="74">
        <f>IF(AND(8&gt;=1,8&lt;=Assumptions!$D$7),1,0)</f>
        <v/>
      </c>
      <c r="AM7" s="74">
        <f>IF(AND(9&gt;=1,9&lt;=Assumptions!$D$7),1,0)</f>
        <v/>
      </c>
      <c r="AN7" s="74">
        <f>IF(AND(9&gt;=1,9&lt;=Assumptions!$D$7),1,0)</f>
        <v/>
      </c>
      <c r="AO7" s="74">
        <f>IF(AND(9&gt;=1,9&lt;=Assumptions!$D$7),1,0)</f>
        <v/>
      </c>
      <c r="AP7" s="74">
        <f>IF(AND(9&gt;=1,9&lt;=Assumptions!$D$7),1,0)</f>
        <v/>
      </c>
      <c r="AQ7" s="74">
        <f>IF(AND(10&gt;=1,10&lt;=Assumptions!$D$7),1,0)</f>
        <v/>
      </c>
    </row>
    <row r="9">
      <c r="B9" s="58" t="inlineStr">
        <is>
          <t>Quarterly NOI</t>
        </is>
      </c>
      <c r="C9" s="61">
        <f>INDEX(OpEx_CapEx!$D$9:$N$9,1,1)/4*C7</f>
        <v/>
      </c>
      <c r="D9" s="61">
        <f>INDEX(OpEx_CapEx!$D$9:$N$9,1,1)/4*D7</f>
        <v/>
      </c>
      <c r="E9" s="61">
        <f>INDEX(OpEx_CapEx!$D$9:$N$9,1,1)/4*E7</f>
        <v/>
      </c>
      <c r="F9" s="61">
        <f>INDEX(OpEx_CapEx!$D$9:$N$9,1,1)/4*F7</f>
        <v/>
      </c>
      <c r="G9" s="61">
        <f>INDEX(OpEx_CapEx!$D$9:$N$9,1,2)/4*G7</f>
        <v/>
      </c>
      <c r="H9" s="61">
        <f>INDEX(OpEx_CapEx!$D$9:$N$9,1,2)/4*H7</f>
        <v/>
      </c>
      <c r="I9" s="61">
        <f>INDEX(OpEx_CapEx!$D$9:$N$9,1,2)/4*I7</f>
        <v/>
      </c>
      <c r="J9" s="61">
        <f>INDEX(OpEx_CapEx!$D$9:$N$9,1,2)/4*J7</f>
        <v/>
      </c>
      <c r="K9" s="61">
        <f>INDEX(OpEx_CapEx!$D$9:$N$9,1,3)/4*K7</f>
        <v/>
      </c>
      <c r="L9" s="61">
        <f>INDEX(OpEx_CapEx!$D$9:$N$9,1,3)/4*L7</f>
        <v/>
      </c>
      <c r="M9" s="61">
        <f>INDEX(OpEx_CapEx!$D$9:$N$9,1,3)/4*M7</f>
        <v/>
      </c>
      <c r="N9" s="61">
        <f>INDEX(OpEx_CapEx!$D$9:$N$9,1,3)/4*N7</f>
        <v/>
      </c>
      <c r="O9" s="61">
        <f>INDEX(OpEx_CapEx!$D$9:$N$9,1,4)/4*O7</f>
        <v/>
      </c>
      <c r="P9" s="61">
        <f>INDEX(OpEx_CapEx!$D$9:$N$9,1,4)/4*P7</f>
        <v/>
      </c>
      <c r="Q9" s="61">
        <f>INDEX(OpEx_CapEx!$D$9:$N$9,1,4)/4*Q7</f>
        <v/>
      </c>
      <c r="R9" s="61">
        <f>INDEX(OpEx_CapEx!$D$9:$N$9,1,4)/4*R7</f>
        <v/>
      </c>
      <c r="S9" s="61">
        <f>INDEX(OpEx_CapEx!$D$9:$N$9,1,5)/4*S7</f>
        <v/>
      </c>
      <c r="T9" s="61">
        <f>INDEX(OpEx_CapEx!$D$9:$N$9,1,5)/4*T7</f>
        <v/>
      </c>
      <c r="U9" s="61">
        <f>INDEX(OpEx_CapEx!$D$9:$N$9,1,5)/4*U7</f>
        <v/>
      </c>
      <c r="V9" s="61">
        <f>INDEX(OpEx_CapEx!$D$9:$N$9,1,5)/4*V7</f>
        <v/>
      </c>
      <c r="W9" s="61">
        <f>INDEX(OpEx_CapEx!$D$9:$N$9,1,6)/4*W7</f>
        <v/>
      </c>
      <c r="X9" s="61">
        <f>INDEX(OpEx_CapEx!$D$9:$N$9,1,6)/4*X7</f>
        <v/>
      </c>
      <c r="Y9" s="61">
        <f>INDEX(OpEx_CapEx!$D$9:$N$9,1,6)/4*Y7</f>
        <v/>
      </c>
      <c r="Z9" s="61">
        <f>INDEX(OpEx_CapEx!$D$9:$N$9,1,6)/4*Z7</f>
        <v/>
      </c>
      <c r="AA9" s="61">
        <f>INDEX(OpEx_CapEx!$D$9:$N$9,1,7)/4*AA7</f>
        <v/>
      </c>
      <c r="AB9" s="61">
        <f>INDEX(OpEx_CapEx!$D$9:$N$9,1,7)/4*AB7</f>
        <v/>
      </c>
      <c r="AC9" s="61">
        <f>INDEX(OpEx_CapEx!$D$9:$N$9,1,7)/4*AC7</f>
        <v/>
      </c>
      <c r="AD9" s="61">
        <f>INDEX(OpEx_CapEx!$D$9:$N$9,1,7)/4*AD7</f>
        <v/>
      </c>
      <c r="AE9" s="61">
        <f>INDEX(OpEx_CapEx!$D$9:$N$9,1,8)/4*AE7</f>
        <v/>
      </c>
      <c r="AF9" s="61">
        <f>INDEX(OpEx_CapEx!$D$9:$N$9,1,8)/4*AF7</f>
        <v/>
      </c>
      <c r="AG9" s="61">
        <f>INDEX(OpEx_CapEx!$D$9:$N$9,1,8)/4*AG7</f>
        <v/>
      </c>
      <c r="AH9" s="61">
        <f>INDEX(OpEx_CapEx!$D$9:$N$9,1,8)/4*AH7</f>
        <v/>
      </c>
      <c r="AI9" s="61">
        <f>INDEX(OpEx_CapEx!$D$9:$N$9,1,9)/4*AI7</f>
        <v/>
      </c>
      <c r="AJ9" s="61">
        <f>INDEX(OpEx_CapEx!$D$9:$N$9,1,9)/4*AJ7</f>
        <v/>
      </c>
      <c r="AK9" s="61">
        <f>INDEX(OpEx_CapEx!$D$9:$N$9,1,9)/4*AK7</f>
        <v/>
      </c>
      <c r="AL9" s="61">
        <f>INDEX(OpEx_CapEx!$D$9:$N$9,1,9)/4*AL7</f>
        <v/>
      </c>
      <c r="AM9" s="61">
        <f>INDEX(OpEx_CapEx!$D$9:$N$9,1,10)/4*AM7</f>
        <v/>
      </c>
      <c r="AN9" s="61">
        <f>INDEX(OpEx_CapEx!$D$9:$N$9,1,10)/4*AN7</f>
        <v/>
      </c>
      <c r="AO9" s="61">
        <f>INDEX(OpEx_CapEx!$D$9:$N$9,1,10)/4*AO7</f>
        <v/>
      </c>
      <c r="AP9" s="61">
        <f>INDEX(OpEx_CapEx!$D$9:$N$9,1,10)/4*AP7</f>
        <v/>
      </c>
      <c r="AQ9" s="61">
        <f>INDEX(OpEx_CapEx!$D$9:$N$9,1,11)/4*AQ7</f>
        <v/>
      </c>
    </row>
    <row r="10">
      <c r="B10" s="58" t="inlineStr">
        <is>
          <t>Debt balance (period-start)</t>
        </is>
      </c>
      <c r="C10" s="61">
        <f>INDEX(Debt!$D$5:$N$5,1,1)</f>
        <v/>
      </c>
      <c r="D10" s="61">
        <f>INDEX(Debt!$D$5:$N$5,1,1)</f>
        <v/>
      </c>
      <c r="E10" s="61">
        <f>INDEX(Debt!$D$5:$N$5,1,1)</f>
        <v/>
      </c>
      <c r="F10" s="61">
        <f>INDEX(Debt!$D$5:$N$5,1,1)</f>
        <v/>
      </c>
      <c r="G10" s="61">
        <f>INDEX(Debt!$D$5:$N$5,1,2)</f>
        <v/>
      </c>
      <c r="H10" s="61">
        <f>INDEX(Debt!$D$5:$N$5,1,2)</f>
        <v/>
      </c>
      <c r="I10" s="61">
        <f>INDEX(Debt!$D$5:$N$5,1,2)</f>
        <v/>
      </c>
      <c r="J10" s="61">
        <f>INDEX(Debt!$D$5:$N$5,1,2)</f>
        <v/>
      </c>
      <c r="K10" s="61">
        <f>INDEX(Debt!$D$5:$N$5,1,3)</f>
        <v/>
      </c>
      <c r="L10" s="61">
        <f>INDEX(Debt!$D$5:$N$5,1,3)</f>
        <v/>
      </c>
      <c r="M10" s="61">
        <f>INDEX(Debt!$D$5:$N$5,1,3)</f>
        <v/>
      </c>
      <c r="N10" s="61">
        <f>INDEX(Debt!$D$5:$N$5,1,3)</f>
        <v/>
      </c>
      <c r="O10" s="61">
        <f>INDEX(Debt!$D$5:$N$5,1,4)</f>
        <v/>
      </c>
      <c r="P10" s="61">
        <f>INDEX(Debt!$D$5:$N$5,1,4)</f>
        <v/>
      </c>
      <c r="Q10" s="61">
        <f>INDEX(Debt!$D$5:$N$5,1,4)</f>
        <v/>
      </c>
      <c r="R10" s="61">
        <f>INDEX(Debt!$D$5:$N$5,1,4)</f>
        <v/>
      </c>
      <c r="S10" s="61">
        <f>INDEX(Debt!$D$5:$N$5,1,5)</f>
        <v/>
      </c>
      <c r="T10" s="61">
        <f>INDEX(Debt!$D$5:$N$5,1,5)</f>
        <v/>
      </c>
      <c r="U10" s="61">
        <f>INDEX(Debt!$D$5:$N$5,1,5)</f>
        <v/>
      </c>
      <c r="V10" s="61">
        <f>INDEX(Debt!$D$5:$N$5,1,5)</f>
        <v/>
      </c>
      <c r="W10" s="61">
        <f>INDEX(Debt!$D$5:$N$5,1,6)</f>
        <v/>
      </c>
      <c r="X10" s="61">
        <f>INDEX(Debt!$D$5:$N$5,1,6)</f>
        <v/>
      </c>
      <c r="Y10" s="61">
        <f>INDEX(Debt!$D$5:$N$5,1,6)</f>
        <v/>
      </c>
      <c r="Z10" s="61">
        <f>INDEX(Debt!$D$5:$N$5,1,6)</f>
        <v/>
      </c>
      <c r="AA10" s="61">
        <f>INDEX(Debt!$D$5:$N$5,1,7)</f>
        <v/>
      </c>
      <c r="AB10" s="61">
        <f>INDEX(Debt!$D$5:$N$5,1,7)</f>
        <v/>
      </c>
      <c r="AC10" s="61">
        <f>INDEX(Debt!$D$5:$N$5,1,7)</f>
        <v/>
      </c>
      <c r="AD10" s="61">
        <f>INDEX(Debt!$D$5:$N$5,1,7)</f>
        <v/>
      </c>
      <c r="AE10" s="61">
        <f>INDEX(Debt!$D$5:$N$5,1,8)</f>
        <v/>
      </c>
      <c r="AF10" s="61">
        <f>INDEX(Debt!$D$5:$N$5,1,8)</f>
        <v/>
      </c>
      <c r="AG10" s="61">
        <f>INDEX(Debt!$D$5:$N$5,1,8)</f>
        <v/>
      </c>
      <c r="AH10" s="61">
        <f>INDEX(Debt!$D$5:$N$5,1,8)</f>
        <v/>
      </c>
      <c r="AI10" s="61">
        <f>INDEX(Debt!$D$5:$N$5,1,9)</f>
        <v/>
      </c>
      <c r="AJ10" s="61">
        <f>INDEX(Debt!$D$5:$N$5,1,9)</f>
        <v/>
      </c>
      <c r="AK10" s="61">
        <f>INDEX(Debt!$D$5:$N$5,1,9)</f>
        <v/>
      </c>
      <c r="AL10" s="61">
        <f>INDEX(Debt!$D$5:$N$5,1,9)</f>
        <v/>
      </c>
      <c r="AM10" s="61">
        <f>INDEX(Debt!$D$5:$N$5,1,10)</f>
        <v/>
      </c>
      <c r="AN10" s="61">
        <f>INDEX(Debt!$D$5:$N$5,1,10)</f>
        <v/>
      </c>
      <c r="AO10" s="61">
        <f>INDEX(Debt!$D$5:$N$5,1,10)</f>
        <v/>
      </c>
      <c r="AP10" s="61">
        <f>INDEX(Debt!$D$5:$N$5,1,10)</f>
        <v/>
      </c>
      <c r="AQ10" s="61">
        <f>INDEX(Debt!$D$5:$N$5,1,11)</f>
        <v/>
      </c>
    </row>
    <row r="11">
      <c r="B11" s="58" t="inlineStr">
        <is>
          <t>Quarterly interest</t>
        </is>
      </c>
      <c r="C11" s="61">
        <f>C10*Assumptions!$D$42/4*C7</f>
        <v/>
      </c>
      <c r="D11" s="61">
        <f>D10*Assumptions!$D$42/4*D7</f>
        <v/>
      </c>
      <c r="E11" s="61">
        <f>E10*Assumptions!$D$42/4*E7</f>
        <v/>
      </c>
      <c r="F11" s="61">
        <f>F10*Assumptions!$D$42/4*F7</f>
        <v/>
      </c>
      <c r="G11" s="61">
        <f>G10*Assumptions!$D$42/4*G7</f>
        <v/>
      </c>
      <c r="H11" s="61">
        <f>H10*Assumptions!$D$42/4*H7</f>
        <v/>
      </c>
      <c r="I11" s="61">
        <f>I10*Assumptions!$D$42/4*I7</f>
        <v/>
      </c>
      <c r="J11" s="61">
        <f>J10*Assumptions!$D$42/4*J7</f>
        <v/>
      </c>
      <c r="K11" s="61">
        <f>K10*Assumptions!$D$42/4*K7</f>
        <v/>
      </c>
      <c r="L11" s="61">
        <f>L10*Assumptions!$D$42/4*L7</f>
        <v/>
      </c>
      <c r="M11" s="61">
        <f>M10*Assumptions!$D$42/4*M7</f>
        <v/>
      </c>
      <c r="N11" s="61">
        <f>N10*Assumptions!$D$42/4*N7</f>
        <v/>
      </c>
      <c r="O11" s="61">
        <f>O10*Assumptions!$D$42/4*O7</f>
        <v/>
      </c>
      <c r="P11" s="61">
        <f>P10*Assumptions!$D$42/4*P7</f>
        <v/>
      </c>
      <c r="Q11" s="61">
        <f>Q10*Assumptions!$D$42/4*Q7</f>
        <v/>
      </c>
      <c r="R11" s="61">
        <f>R10*Assumptions!$D$42/4*R7</f>
        <v/>
      </c>
      <c r="S11" s="61">
        <f>S10*Assumptions!$D$42/4*S7</f>
        <v/>
      </c>
      <c r="T11" s="61">
        <f>T10*Assumptions!$D$42/4*T7</f>
        <v/>
      </c>
      <c r="U11" s="61">
        <f>U10*Assumptions!$D$42/4*U7</f>
        <v/>
      </c>
      <c r="V11" s="61">
        <f>V10*Assumptions!$D$42/4*V7</f>
        <v/>
      </c>
      <c r="W11" s="61">
        <f>W10*Assumptions!$D$42/4*W7</f>
        <v/>
      </c>
      <c r="X11" s="61">
        <f>X10*Assumptions!$D$42/4*X7</f>
        <v/>
      </c>
      <c r="Y11" s="61">
        <f>Y10*Assumptions!$D$42/4*Y7</f>
        <v/>
      </c>
      <c r="Z11" s="61">
        <f>Z10*Assumptions!$D$42/4*Z7</f>
        <v/>
      </c>
      <c r="AA11" s="61">
        <f>AA10*Assumptions!$D$42/4*AA7</f>
        <v/>
      </c>
      <c r="AB11" s="61">
        <f>AB10*Assumptions!$D$42/4*AB7</f>
        <v/>
      </c>
      <c r="AC11" s="61">
        <f>AC10*Assumptions!$D$42/4*AC7</f>
        <v/>
      </c>
      <c r="AD11" s="61">
        <f>AD10*Assumptions!$D$42/4*AD7</f>
        <v/>
      </c>
      <c r="AE11" s="61">
        <f>AE10*Assumptions!$D$42/4*AE7</f>
        <v/>
      </c>
      <c r="AF11" s="61">
        <f>AF10*Assumptions!$D$42/4*AF7</f>
        <v/>
      </c>
      <c r="AG11" s="61">
        <f>AG10*Assumptions!$D$42/4*AG7</f>
        <v/>
      </c>
      <c r="AH11" s="61">
        <f>AH10*Assumptions!$D$42/4*AH7</f>
        <v/>
      </c>
      <c r="AI11" s="61">
        <f>AI10*Assumptions!$D$42/4*AI7</f>
        <v/>
      </c>
      <c r="AJ11" s="61">
        <f>AJ10*Assumptions!$D$42/4*AJ7</f>
        <v/>
      </c>
      <c r="AK11" s="61">
        <f>AK10*Assumptions!$D$42/4*AK7</f>
        <v/>
      </c>
      <c r="AL11" s="61">
        <f>AL10*Assumptions!$D$42/4*AL7</f>
        <v/>
      </c>
      <c r="AM11" s="61">
        <f>AM10*Assumptions!$D$42/4*AM7</f>
        <v/>
      </c>
      <c r="AN11" s="61">
        <f>AN10*Assumptions!$D$42/4*AN7</f>
        <v/>
      </c>
      <c r="AO11" s="61">
        <f>AO10*Assumptions!$D$42/4*AO7</f>
        <v/>
      </c>
      <c r="AP11" s="61">
        <f>AP10*Assumptions!$D$42/4*AP7</f>
        <v/>
      </c>
      <c r="AQ11" s="61">
        <f>AQ10*Assumptions!$D$42/4*AQ7</f>
        <v/>
      </c>
    </row>
    <row r="12">
      <c r="B12" s="58" t="inlineStr">
        <is>
          <t>Quarterly principal (scheduled)</t>
        </is>
      </c>
      <c r="C12" s="61">
        <f>IFERROR(INDEX(Debt!$D$7:$N$7,1,1)/4,0)*C7</f>
        <v/>
      </c>
      <c r="D12" s="61">
        <f>IFERROR(INDEX(Debt!$D$7:$N$7,1,1)/4,0)*D7</f>
        <v/>
      </c>
      <c r="E12" s="61">
        <f>IFERROR(INDEX(Debt!$D$7:$N$7,1,1)/4,0)*E7</f>
        <v/>
      </c>
      <c r="F12" s="61">
        <f>IFERROR(INDEX(Debt!$D$7:$N$7,1,1)/4,0)*F7</f>
        <v/>
      </c>
      <c r="G12" s="61">
        <f>IFERROR(INDEX(Debt!$D$7:$N$7,1,2)/4,0)*G7</f>
        <v/>
      </c>
      <c r="H12" s="61">
        <f>IFERROR(INDEX(Debt!$D$7:$N$7,1,2)/4,0)*H7</f>
        <v/>
      </c>
      <c r="I12" s="61">
        <f>IFERROR(INDEX(Debt!$D$7:$N$7,1,2)/4,0)*I7</f>
        <v/>
      </c>
      <c r="J12" s="61">
        <f>IFERROR(INDEX(Debt!$D$7:$N$7,1,2)/4,0)*J7</f>
        <v/>
      </c>
      <c r="K12" s="61">
        <f>IFERROR(INDEX(Debt!$D$7:$N$7,1,3)/4,0)*K7</f>
        <v/>
      </c>
      <c r="L12" s="61">
        <f>IFERROR(INDEX(Debt!$D$7:$N$7,1,3)/4,0)*L7</f>
        <v/>
      </c>
      <c r="M12" s="61">
        <f>IFERROR(INDEX(Debt!$D$7:$N$7,1,3)/4,0)*M7</f>
        <v/>
      </c>
      <c r="N12" s="61">
        <f>IFERROR(INDEX(Debt!$D$7:$N$7,1,3)/4,0)*N7</f>
        <v/>
      </c>
      <c r="O12" s="61">
        <f>IFERROR(INDEX(Debt!$D$7:$N$7,1,4)/4,0)*O7</f>
        <v/>
      </c>
      <c r="P12" s="61">
        <f>IFERROR(INDEX(Debt!$D$7:$N$7,1,4)/4,0)*P7</f>
        <v/>
      </c>
      <c r="Q12" s="61">
        <f>IFERROR(INDEX(Debt!$D$7:$N$7,1,4)/4,0)*Q7</f>
        <v/>
      </c>
      <c r="R12" s="61">
        <f>IFERROR(INDEX(Debt!$D$7:$N$7,1,4)/4,0)*R7</f>
        <v/>
      </c>
      <c r="S12" s="61">
        <f>IFERROR(INDEX(Debt!$D$7:$N$7,1,5)/4,0)*S7</f>
        <v/>
      </c>
      <c r="T12" s="61">
        <f>IFERROR(INDEX(Debt!$D$7:$N$7,1,5)/4,0)*T7</f>
        <v/>
      </c>
      <c r="U12" s="61">
        <f>IFERROR(INDEX(Debt!$D$7:$N$7,1,5)/4,0)*U7</f>
        <v/>
      </c>
      <c r="V12" s="61">
        <f>IFERROR(INDEX(Debt!$D$7:$N$7,1,5)/4,0)*V7</f>
        <v/>
      </c>
      <c r="W12" s="61">
        <f>IFERROR(INDEX(Debt!$D$7:$N$7,1,6)/4,0)*W7</f>
        <v/>
      </c>
      <c r="X12" s="61">
        <f>IFERROR(INDEX(Debt!$D$7:$N$7,1,6)/4,0)*X7</f>
        <v/>
      </c>
      <c r="Y12" s="61">
        <f>IFERROR(INDEX(Debt!$D$7:$N$7,1,6)/4,0)*Y7</f>
        <v/>
      </c>
      <c r="Z12" s="61">
        <f>IFERROR(INDEX(Debt!$D$7:$N$7,1,6)/4,0)*Z7</f>
        <v/>
      </c>
      <c r="AA12" s="61">
        <f>IFERROR(INDEX(Debt!$D$7:$N$7,1,7)/4,0)*AA7</f>
        <v/>
      </c>
      <c r="AB12" s="61">
        <f>IFERROR(INDEX(Debt!$D$7:$N$7,1,7)/4,0)*AB7</f>
        <v/>
      </c>
      <c r="AC12" s="61">
        <f>IFERROR(INDEX(Debt!$D$7:$N$7,1,7)/4,0)*AC7</f>
        <v/>
      </c>
      <c r="AD12" s="61">
        <f>IFERROR(INDEX(Debt!$D$7:$N$7,1,7)/4,0)*AD7</f>
        <v/>
      </c>
      <c r="AE12" s="61">
        <f>IFERROR(INDEX(Debt!$D$7:$N$7,1,8)/4,0)*AE7</f>
        <v/>
      </c>
      <c r="AF12" s="61">
        <f>IFERROR(INDEX(Debt!$D$7:$N$7,1,8)/4,0)*AF7</f>
        <v/>
      </c>
      <c r="AG12" s="61">
        <f>IFERROR(INDEX(Debt!$D$7:$N$7,1,8)/4,0)*AG7</f>
        <v/>
      </c>
      <c r="AH12" s="61">
        <f>IFERROR(INDEX(Debt!$D$7:$N$7,1,8)/4,0)*AH7</f>
        <v/>
      </c>
      <c r="AI12" s="61">
        <f>IFERROR(INDEX(Debt!$D$7:$N$7,1,9)/4,0)*AI7</f>
        <v/>
      </c>
      <c r="AJ12" s="61">
        <f>IFERROR(INDEX(Debt!$D$7:$N$7,1,9)/4,0)*AJ7</f>
        <v/>
      </c>
      <c r="AK12" s="61">
        <f>IFERROR(INDEX(Debt!$D$7:$N$7,1,9)/4,0)*AK7</f>
        <v/>
      </c>
      <c r="AL12" s="61">
        <f>IFERROR(INDEX(Debt!$D$7:$N$7,1,9)/4,0)*AL7</f>
        <v/>
      </c>
      <c r="AM12" s="61">
        <f>IFERROR(INDEX(Debt!$D$7:$N$7,1,10)/4,0)*AM7</f>
        <v/>
      </c>
      <c r="AN12" s="61">
        <f>IFERROR(INDEX(Debt!$D$7:$N$7,1,10)/4,0)*AN7</f>
        <v/>
      </c>
      <c r="AO12" s="61">
        <f>IFERROR(INDEX(Debt!$D$7:$N$7,1,10)/4,0)*AO7</f>
        <v/>
      </c>
      <c r="AP12" s="61">
        <f>IFERROR(INDEX(Debt!$D$7:$N$7,1,10)/4,0)*AP7</f>
        <v/>
      </c>
      <c r="AQ12" s="61">
        <f>IFERROR(INDEX(Debt!$D$7:$N$7,1,11)/4,0)*AQ7</f>
        <v/>
      </c>
    </row>
    <row r="13">
      <c r="B13" s="58" t="inlineStr">
        <is>
          <t>Bullet repayment at exit</t>
        </is>
      </c>
      <c r="C13" s="61" t="n">
        <v>0</v>
      </c>
      <c r="D13" s="61" t="n">
        <v>0</v>
      </c>
      <c r="E13" s="61" t="n">
        <v>0</v>
      </c>
      <c r="F13" s="61" t="n">
        <v>0</v>
      </c>
      <c r="G13" s="61" t="n">
        <v>0</v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1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1" t="n">
        <v>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0</v>
      </c>
      <c r="AM13" s="61" t="n">
        <v>0</v>
      </c>
      <c r="AN13" s="61" t="n">
        <v>0</v>
      </c>
      <c r="AO13" s="61" t="n">
        <v>0</v>
      </c>
      <c r="AP13" s="61" t="n">
        <v>0</v>
      </c>
      <c r="AQ13" s="61">
        <f>INDEX(Debt!$D$8:$N$8,1,Assumptions!$D$7+1)</f>
        <v/>
      </c>
    </row>
    <row r="14">
      <c r="B14" s="58" t="inlineStr">
        <is>
          <t>Total quarterly debt service</t>
        </is>
      </c>
      <c r="C14" s="61">
        <f>ABS(C11)+ABS(C12)+ABS(C13)</f>
        <v/>
      </c>
      <c r="D14" s="61">
        <f>ABS(D11)+ABS(D12)+ABS(D13)</f>
        <v/>
      </c>
      <c r="E14" s="61">
        <f>ABS(E11)+ABS(E12)+ABS(E13)</f>
        <v/>
      </c>
      <c r="F14" s="61">
        <f>ABS(F11)+ABS(F12)+ABS(F13)</f>
        <v/>
      </c>
      <c r="G14" s="61">
        <f>ABS(G11)+ABS(G12)+ABS(G13)</f>
        <v/>
      </c>
      <c r="H14" s="61">
        <f>ABS(H11)+ABS(H12)+ABS(H13)</f>
        <v/>
      </c>
      <c r="I14" s="61">
        <f>ABS(I11)+ABS(I12)+ABS(I13)</f>
        <v/>
      </c>
      <c r="J14" s="61">
        <f>ABS(J11)+ABS(J12)+ABS(J13)</f>
        <v/>
      </c>
      <c r="K14" s="61">
        <f>ABS(K11)+ABS(K12)+ABS(K13)</f>
        <v/>
      </c>
      <c r="L14" s="61">
        <f>ABS(L11)+ABS(L12)+ABS(L13)</f>
        <v/>
      </c>
      <c r="M14" s="61">
        <f>ABS(M11)+ABS(M12)+ABS(M13)</f>
        <v/>
      </c>
      <c r="N14" s="61">
        <f>ABS(N11)+ABS(N12)+ABS(N13)</f>
        <v/>
      </c>
      <c r="O14" s="61">
        <f>ABS(O11)+ABS(O12)+ABS(O13)</f>
        <v/>
      </c>
      <c r="P14" s="61">
        <f>ABS(P11)+ABS(P12)+ABS(P13)</f>
        <v/>
      </c>
      <c r="Q14" s="61">
        <f>ABS(Q11)+ABS(Q12)+ABS(Q13)</f>
        <v/>
      </c>
      <c r="R14" s="61">
        <f>ABS(R11)+ABS(R12)+ABS(R13)</f>
        <v/>
      </c>
      <c r="S14" s="61">
        <f>ABS(S11)+ABS(S12)+ABS(S13)</f>
        <v/>
      </c>
      <c r="T14" s="61">
        <f>ABS(T11)+ABS(T12)+ABS(T13)</f>
        <v/>
      </c>
      <c r="U14" s="61">
        <f>ABS(U11)+ABS(U12)+ABS(U13)</f>
        <v/>
      </c>
      <c r="V14" s="61">
        <f>ABS(V11)+ABS(V12)+ABS(V13)</f>
        <v/>
      </c>
      <c r="W14" s="61">
        <f>ABS(W11)+ABS(W12)+ABS(W13)</f>
        <v/>
      </c>
      <c r="X14" s="61">
        <f>ABS(X11)+ABS(X12)+ABS(X13)</f>
        <v/>
      </c>
      <c r="Y14" s="61">
        <f>ABS(Y11)+ABS(Y12)+ABS(Y13)</f>
        <v/>
      </c>
      <c r="Z14" s="61">
        <f>ABS(Z11)+ABS(Z12)+ABS(Z13)</f>
        <v/>
      </c>
      <c r="AA14" s="61">
        <f>ABS(AA11)+ABS(AA12)+ABS(AA13)</f>
        <v/>
      </c>
      <c r="AB14" s="61">
        <f>ABS(AB11)+ABS(AB12)+ABS(AB13)</f>
        <v/>
      </c>
      <c r="AC14" s="61">
        <f>ABS(AC11)+ABS(AC12)+ABS(AC13)</f>
        <v/>
      </c>
      <c r="AD14" s="61">
        <f>ABS(AD11)+ABS(AD12)+ABS(AD13)</f>
        <v/>
      </c>
      <c r="AE14" s="61">
        <f>ABS(AE11)+ABS(AE12)+ABS(AE13)</f>
        <v/>
      </c>
      <c r="AF14" s="61">
        <f>ABS(AF11)+ABS(AF12)+ABS(AF13)</f>
        <v/>
      </c>
      <c r="AG14" s="61">
        <f>ABS(AG11)+ABS(AG12)+ABS(AG13)</f>
        <v/>
      </c>
      <c r="AH14" s="61">
        <f>ABS(AH11)+ABS(AH12)+ABS(AH13)</f>
        <v/>
      </c>
      <c r="AI14" s="61">
        <f>ABS(AI11)+ABS(AI12)+ABS(AI13)</f>
        <v/>
      </c>
      <c r="AJ14" s="61">
        <f>ABS(AJ11)+ABS(AJ12)+ABS(AJ13)</f>
        <v/>
      </c>
      <c r="AK14" s="61">
        <f>ABS(AK11)+ABS(AK12)+ABS(AK13)</f>
        <v/>
      </c>
      <c r="AL14" s="61">
        <f>ABS(AL11)+ABS(AL12)+ABS(AL13)</f>
        <v/>
      </c>
      <c r="AM14" s="61">
        <f>ABS(AM11)+ABS(AM12)+ABS(AM13)</f>
        <v/>
      </c>
      <c r="AN14" s="61">
        <f>ABS(AN11)+ABS(AN12)+ABS(AN13)</f>
        <v/>
      </c>
      <c r="AO14" s="61">
        <f>ABS(AO11)+ABS(AO12)+ABS(AO13)</f>
        <v/>
      </c>
      <c r="AP14" s="61">
        <f>ABS(AP11)+ABS(AP12)+ABS(AP13)</f>
        <v/>
      </c>
      <c r="AQ14" s="61">
        <f>ABS(AQ11)+ABS(AQ12)+ABS(AQ13)</f>
        <v/>
      </c>
    </row>
    <row r="16">
      <c r="B16" s="69" t="inlineStr">
        <is>
          <t>Quarterly DSCR (excl. bullet)</t>
        </is>
      </c>
      <c r="C16" s="75">
        <f>IFERROR(IF(ABS(C11)+ABS(C12)=0,"-",C9/(ABS(C11)+ABS(C12))),"-")</f>
        <v/>
      </c>
      <c r="D16" s="75">
        <f>IFERROR(IF(ABS(D11)+ABS(D12)=0,"-",D9/(ABS(D11)+ABS(D12))),"-")</f>
        <v/>
      </c>
      <c r="E16" s="75">
        <f>IFERROR(IF(ABS(E11)+ABS(E12)=0,"-",E9/(ABS(E11)+ABS(E12))),"-")</f>
        <v/>
      </c>
      <c r="F16" s="75">
        <f>IFERROR(IF(ABS(F11)+ABS(F12)=0,"-",F9/(ABS(F11)+ABS(F12))),"-")</f>
        <v/>
      </c>
      <c r="G16" s="75">
        <f>IFERROR(IF(ABS(G11)+ABS(G12)=0,"-",G9/(ABS(G11)+ABS(G12))),"-")</f>
        <v/>
      </c>
      <c r="H16" s="75">
        <f>IFERROR(IF(ABS(H11)+ABS(H12)=0,"-",H9/(ABS(H11)+ABS(H12))),"-")</f>
        <v/>
      </c>
      <c r="I16" s="75">
        <f>IFERROR(IF(ABS(I11)+ABS(I12)=0,"-",I9/(ABS(I11)+ABS(I12))),"-")</f>
        <v/>
      </c>
      <c r="J16" s="75">
        <f>IFERROR(IF(ABS(J11)+ABS(J12)=0,"-",J9/(ABS(J11)+ABS(J12))),"-")</f>
        <v/>
      </c>
      <c r="K16" s="75">
        <f>IFERROR(IF(ABS(K11)+ABS(K12)=0,"-",K9/(ABS(K11)+ABS(K12))),"-")</f>
        <v/>
      </c>
      <c r="L16" s="75">
        <f>IFERROR(IF(ABS(L11)+ABS(L12)=0,"-",L9/(ABS(L11)+ABS(L12))),"-")</f>
        <v/>
      </c>
      <c r="M16" s="75">
        <f>IFERROR(IF(ABS(M11)+ABS(M12)=0,"-",M9/(ABS(M11)+ABS(M12))),"-")</f>
        <v/>
      </c>
      <c r="N16" s="75">
        <f>IFERROR(IF(ABS(N11)+ABS(N12)=0,"-",N9/(ABS(N11)+ABS(N12))),"-")</f>
        <v/>
      </c>
      <c r="O16" s="75">
        <f>IFERROR(IF(ABS(O11)+ABS(O12)=0,"-",O9/(ABS(O11)+ABS(O12))),"-")</f>
        <v/>
      </c>
      <c r="P16" s="75">
        <f>IFERROR(IF(ABS(P11)+ABS(P12)=0,"-",P9/(ABS(P11)+ABS(P12))),"-")</f>
        <v/>
      </c>
      <c r="Q16" s="75">
        <f>IFERROR(IF(ABS(Q11)+ABS(Q12)=0,"-",Q9/(ABS(Q11)+ABS(Q12))),"-")</f>
        <v/>
      </c>
      <c r="R16" s="75">
        <f>IFERROR(IF(ABS(R11)+ABS(R12)=0,"-",R9/(ABS(R11)+ABS(R12))),"-")</f>
        <v/>
      </c>
      <c r="S16" s="75">
        <f>IFERROR(IF(ABS(S11)+ABS(S12)=0,"-",S9/(ABS(S11)+ABS(S12))),"-")</f>
        <v/>
      </c>
      <c r="T16" s="75">
        <f>IFERROR(IF(ABS(T11)+ABS(T12)=0,"-",T9/(ABS(T11)+ABS(T12))),"-")</f>
        <v/>
      </c>
      <c r="U16" s="75">
        <f>IFERROR(IF(ABS(U11)+ABS(U12)=0,"-",U9/(ABS(U11)+ABS(U12))),"-")</f>
        <v/>
      </c>
      <c r="V16" s="75">
        <f>IFERROR(IF(ABS(V11)+ABS(V12)=0,"-",V9/(ABS(V11)+ABS(V12))),"-")</f>
        <v/>
      </c>
      <c r="W16" s="75">
        <f>IFERROR(IF(ABS(W11)+ABS(W12)=0,"-",W9/(ABS(W11)+ABS(W12))),"-")</f>
        <v/>
      </c>
      <c r="X16" s="75">
        <f>IFERROR(IF(ABS(X11)+ABS(X12)=0,"-",X9/(ABS(X11)+ABS(X12))),"-")</f>
        <v/>
      </c>
      <c r="Y16" s="75">
        <f>IFERROR(IF(ABS(Y11)+ABS(Y12)=0,"-",Y9/(ABS(Y11)+ABS(Y12))),"-")</f>
        <v/>
      </c>
      <c r="Z16" s="75">
        <f>IFERROR(IF(ABS(Z11)+ABS(Z12)=0,"-",Z9/(ABS(Z11)+ABS(Z12))),"-")</f>
        <v/>
      </c>
      <c r="AA16" s="75">
        <f>IFERROR(IF(ABS(AA11)+ABS(AA12)=0,"-",AA9/(ABS(AA11)+ABS(AA12))),"-")</f>
        <v/>
      </c>
      <c r="AB16" s="75">
        <f>IFERROR(IF(ABS(AB11)+ABS(AB12)=0,"-",AB9/(ABS(AB11)+ABS(AB12))),"-")</f>
        <v/>
      </c>
      <c r="AC16" s="75">
        <f>IFERROR(IF(ABS(AC11)+ABS(AC12)=0,"-",AC9/(ABS(AC11)+ABS(AC12))),"-")</f>
        <v/>
      </c>
      <c r="AD16" s="75">
        <f>IFERROR(IF(ABS(AD11)+ABS(AD12)=0,"-",AD9/(ABS(AD11)+ABS(AD12))),"-")</f>
        <v/>
      </c>
      <c r="AE16" s="75">
        <f>IFERROR(IF(ABS(AE11)+ABS(AE12)=0,"-",AE9/(ABS(AE11)+ABS(AE12))),"-")</f>
        <v/>
      </c>
      <c r="AF16" s="75">
        <f>IFERROR(IF(ABS(AF11)+ABS(AF12)=0,"-",AF9/(ABS(AF11)+ABS(AF12))),"-")</f>
        <v/>
      </c>
      <c r="AG16" s="75">
        <f>IFERROR(IF(ABS(AG11)+ABS(AG12)=0,"-",AG9/(ABS(AG11)+ABS(AG12))),"-")</f>
        <v/>
      </c>
      <c r="AH16" s="75">
        <f>IFERROR(IF(ABS(AH11)+ABS(AH12)=0,"-",AH9/(ABS(AH11)+ABS(AH12))),"-")</f>
        <v/>
      </c>
      <c r="AI16" s="75">
        <f>IFERROR(IF(ABS(AI11)+ABS(AI12)=0,"-",AI9/(ABS(AI11)+ABS(AI12))),"-")</f>
        <v/>
      </c>
      <c r="AJ16" s="75">
        <f>IFERROR(IF(ABS(AJ11)+ABS(AJ12)=0,"-",AJ9/(ABS(AJ11)+ABS(AJ12))),"-")</f>
        <v/>
      </c>
      <c r="AK16" s="75">
        <f>IFERROR(IF(ABS(AK11)+ABS(AK12)=0,"-",AK9/(ABS(AK11)+ABS(AK12))),"-")</f>
        <v/>
      </c>
      <c r="AL16" s="75">
        <f>IFERROR(IF(ABS(AL11)+ABS(AL12)=0,"-",AL9/(ABS(AL11)+ABS(AL12))),"-")</f>
        <v/>
      </c>
      <c r="AM16" s="75">
        <f>IFERROR(IF(ABS(AM11)+ABS(AM12)=0,"-",AM9/(ABS(AM11)+ABS(AM12))),"-")</f>
        <v/>
      </c>
      <c r="AN16" s="75">
        <f>IFERROR(IF(ABS(AN11)+ABS(AN12)=0,"-",AN9/(ABS(AN11)+ABS(AN12))),"-")</f>
        <v/>
      </c>
      <c r="AO16" s="75">
        <f>IFERROR(IF(ABS(AO11)+ABS(AO12)=0,"-",AO9/(ABS(AO11)+ABS(AO12))),"-")</f>
        <v/>
      </c>
      <c r="AP16" s="75">
        <f>IFERROR(IF(ABS(AP11)+ABS(AP12)=0,"-",AP9/(ABS(AP11)+ABS(AP12))),"-")</f>
        <v/>
      </c>
      <c r="AQ16" s="75">
        <f>IFERROR(IF(ABS(AQ11)+ABS(AQ12)=0,"-",AQ9/(ABS(AQ11)+ABS(AQ12))),"-")</f>
        <v/>
      </c>
    </row>
    <row r="17">
      <c r="B17" s="58" t="inlineStr">
        <is>
          <t>Quarterly covenant test (≥ 1.30x)</t>
        </is>
      </c>
      <c r="C17" s="60">
        <f>IFERROR(IF(C16="-","-",IF(C16&gt;=Assumptions!$D$73,"PASS","BREACH")),"-")</f>
        <v/>
      </c>
      <c r="D17" s="60">
        <f>IFERROR(IF(D16="-","-",IF(D16&gt;=Assumptions!$D$73,"PASS","BREACH")),"-")</f>
        <v/>
      </c>
      <c r="E17" s="60">
        <f>IFERROR(IF(E16="-","-",IF(E16&gt;=Assumptions!$D$73,"PASS","BREACH")),"-")</f>
        <v/>
      </c>
      <c r="F17" s="60">
        <f>IFERROR(IF(F16="-","-",IF(F16&gt;=Assumptions!$D$73,"PASS","BREACH")),"-")</f>
        <v/>
      </c>
      <c r="G17" s="60">
        <f>IFERROR(IF(G16="-","-",IF(G16&gt;=Assumptions!$D$73,"PASS","BREACH")),"-")</f>
        <v/>
      </c>
      <c r="H17" s="60">
        <f>IFERROR(IF(H16="-","-",IF(H16&gt;=Assumptions!$D$73,"PASS","BREACH")),"-")</f>
        <v/>
      </c>
      <c r="I17" s="60">
        <f>IFERROR(IF(I16="-","-",IF(I16&gt;=Assumptions!$D$73,"PASS","BREACH")),"-")</f>
        <v/>
      </c>
      <c r="J17" s="60">
        <f>IFERROR(IF(J16="-","-",IF(J16&gt;=Assumptions!$D$73,"PASS","BREACH")),"-")</f>
        <v/>
      </c>
      <c r="K17" s="60">
        <f>IFERROR(IF(K16="-","-",IF(K16&gt;=Assumptions!$D$73,"PASS","BREACH")),"-")</f>
        <v/>
      </c>
      <c r="L17" s="60">
        <f>IFERROR(IF(L16="-","-",IF(L16&gt;=Assumptions!$D$73,"PASS","BREACH")),"-")</f>
        <v/>
      </c>
      <c r="M17" s="60">
        <f>IFERROR(IF(M16="-","-",IF(M16&gt;=Assumptions!$D$73,"PASS","BREACH")),"-")</f>
        <v/>
      </c>
      <c r="N17" s="60">
        <f>IFERROR(IF(N16="-","-",IF(N16&gt;=Assumptions!$D$73,"PASS","BREACH")),"-")</f>
        <v/>
      </c>
      <c r="O17" s="60">
        <f>IFERROR(IF(O16="-","-",IF(O16&gt;=Assumptions!$D$73,"PASS","BREACH")),"-")</f>
        <v/>
      </c>
      <c r="P17" s="60">
        <f>IFERROR(IF(P16="-","-",IF(P16&gt;=Assumptions!$D$73,"PASS","BREACH")),"-")</f>
        <v/>
      </c>
      <c r="Q17" s="60">
        <f>IFERROR(IF(Q16="-","-",IF(Q16&gt;=Assumptions!$D$73,"PASS","BREACH")),"-")</f>
        <v/>
      </c>
      <c r="R17" s="60">
        <f>IFERROR(IF(R16="-","-",IF(R16&gt;=Assumptions!$D$73,"PASS","BREACH")),"-")</f>
        <v/>
      </c>
      <c r="S17" s="60">
        <f>IFERROR(IF(S16="-","-",IF(S16&gt;=Assumptions!$D$73,"PASS","BREACH")),"-")</f>
        <v/>
      </c>
      <c r="T17" s="60">
        <f>IFERROR(IF(T16="-","-",IF(T16&gt;=Assumptions!$D$73,"PASS","BREACH")),"-")</f>
        <v/>
      </c>
      <c r="U17" s="60">
        <f>IFERROR(IF(U16="-","-",IF(U16&gt;=Assumptions!$D$73,"PASS","BREACH")),"-")</f>
        <v/>
      </c>
      <c r="V17" s="60">
        <f>IFERROR(IF(V16="-","-",IF(V16&gt;=Assumptions!$D$73,"PASS","BREACH")),"-")</f>
        <v/>
      </c>
      <c r="W17" s="60">
        <f>IFERROR(IF(W16="-","-",IF(W16&gt;=Assumptions!$D$73,"PASS","BREACH")),"-")</f>
        <v/>
      </c>
      <c r="X17" s="60">
        <f>IFERROR(IF(X16="-","-",IF(X16&gt;=Assumptions!$D$73,"PASS","BREACH")),"-")</f>
        <v/>
      </c>
      <c r="Y17" s="60">
        <f>IFERROR(IF(Y16="-","-",IF(Y16&gt;=Assumptions!$D$73,"PASS","BREACH")),"-")</f>
        <v/>
      </c>
      <c r="Z17" s="60">
        <f>IFERROR(IF(Z16="-","-",IF(Z16&gt;=Assumptions!$D$73,"PASS","BREACH")),"-")</f>
        <v/>
      </c>
      <c r="AA17" s="60">
        <f>IFERROR(IF(AA16="-","-",IF(AA16&gt;=Assumptions!$D$73,"PASS","BREACH")),"-")</f>
        <v/>
      </c>
      <c r="AB17" s="60">
        <f>IFERROR(IF(AB16="-","-",IF(AB16&gt;=Assumptions!$D$73,"PASS","BREACH")),"-")</f>
        <v/>
      </c>
      <c r="AC17" s="60">
        <f>IFERROR(IF(AC16="-","-",IF(AC16&gt;=Assumptions!$D$73,"PASS","BREACH")),"-")</f>
        <v/>
      </c>
      <c r="AD17" s="60">
        <f>IFERROR(IF(AD16="-","-",IF(AD16&gt;=Assumptions!$D$73,"PASS","BREACH")),"-")</f>
        <v/>
      </c>
      <c r="AE17" s="60">
        <f>IFERROR(IF(AE16="-","-",IF(AE16&gt;=Assumptions!$D$73,"PASS","BREACH")),"-")</f>
        <v/>
      </c>
      <c r="AF17" s="60">
        <f>IFERROR(IF(AF16="-","-",IF(AF16&gt;=Assumptions!$D$73,"PASS","BREACH")),"-")</f>
        <v/>
      </c>
      <c r="AG17" s="60">
        <f>IFERROR(IF(AG16="-","-",IF(AG16&gt;=Assumptions!$D$73,"PASS","BREACH")),"-")</f>
        <v/>
      </c>
      <c r="AH17" s="60">
        <f>IFERROR(IF(AH16="-","-",IF(AH16&gt;=Assumptions!$D$73,"PASS","BREACH")),"-")</f>
        <v/>
      </c>
      <c r="AI17" s="60">
        <f>IFERROR(IF(AI16="-","-",IF(AI16&gt;=Assumptions!$D$73,"PASS","BREACH")),"-")</f>
        <v/>
      </c>
      <c r="AJ17" s="60">
        <f>IFERROR(IF(AJ16="-","-",IF(AJ16&gt;=Assumptions!$D$73,"PASS","BREACH")),"-")</f>
        <v/>
      </c>
      <c r="AK17" s="60">
        <f>IFERROR(IF(AK16="-","-",IF(AK16&gt;=Assumptions!$D$73,"PASS","BREACH")),"-")</f>
        <v/>
      </c>
      <c r="AL17" s="60">
        <f>IFERROR(IF(AL16="-","-",IF(AL16&gt;=Assumptions!$D$73,"PASS","BREACH")),"-")</f>
        <v/>
      </c>
      <c r="AM17" s="60">
        <f>IFERROR(IF(AM16="-","-",IF(AM16&gt;=Assumptions!$D$73,"PASS","BREACH")),"-")</f>
        <v/>
      </c>
      <c r="AN17" s="60">
        <f>IFERROR(IF(AN16="-","-",IF(AN16&gt;=Assumptions!$D$73,"PASS","BREACH")),"-")</f>
        <v/>
      </c>
      <c r="AO17" s="60">
        <f>IFERROR(IF(AO16="-","-",IF(AO16&gt;=Assumptions!$D$73,"PASS","BREACH")),"-")</f>
        <v/>
      </c>
      <c r="AP17" s="60">
        <f>IFERROR(IF(AP16="-","-",IF(AP16&gt;=Assumptions!$D$73,"PASS","BREACH")),"-")</f>
        <v/>
      </c>
      <c r="AQ17" s="60">
        <f>IFERROR(IF(AQ16="-","-",IF(AQ16&gt;=Assumptions!$D$73,"PASS","BREACH")),"-")</f>
        <v/>
      </c>
    </row>
    <row r="19">
      <c r="B19" s="69" t="inlineStr">
        <is>
          <t>Min quarterly DSCR</t>
        </is>
      </c>
      <c r="C19" s="76">
        <f>MIN(C16:AQ16)</f>
        <v/>
      </c>
    </row>
    <row r="20">
      <c r="B20" s="58" t="inlineStr">
        <is>
          <t>Quarters in breach</t>
        </is>
      </c>
      <c r="C20" s="77">
        <f>COUNTIF(C17:AQ17,"BREACH")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N29"/>
  <sheetViews>
    <sheetView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8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</cols>
  <sheetData>
    <row r="2">
      <c r="B2" s="73" t="inlineStr">
        <is>
          <t>REFINANCING MODULE — institutional treatment of bullet exit</t>
        </is>
      </c>
    </row>
    <row r="3">
      <c r="B3" s="52" t="inlineStr">
        <is>
          <t>Models a single refinancing event during hold. When ON, bullet at original maturity is replaced by amortizing/bullet refi; remaining principal at exit is repaid from sale proceeds.</t>
        </is>
      </c>
    </row>
    <row r="5">
      <c r="B5" s="58" t="inlineStr">
        <is>
          <t>Refi switch</t>
        </is>
      </c>
      <c r="D5" s="78">
        <f>Assumptions!$D$79</f>
        <v/>
      </c>
    </row>
    <row r="6">
      <c r="B6" s="58" t="inlineStr">
        <is>
          <t>Refi year (Yn)</t>
        </is>
      </c>
      <c r="D6" s="78">
        <f>Assumptions!$D$80</f>
        <v/>
      </c>
    </row>
    <row r="7">
      <c r="B7" s="58" t="inlineStr">
        <is>
          <t>Property value at refi (Y_refi NOI / exit cap proxy)</t>
        </is>
      </c>
      <c r="D7" s="61">
        <f>IFERROR(INDEX(OpEx_CapEx!E9:N9,1,Assumptions!$D$80)/Assumptions!$D$51,0)</f>
        <v/>
      </c>
    </row>
    <row r="8">
      <c r="B8" s="58" t="inlineStr">
        <is>
          <t>Refi LTV</t>
        </is>
      </c>
      <c r="D8" s="79">
        <f>Assumptions!$D$81</f>
        <v/>
      </c>
    </row>
    <row r="9">
      <c r="B9" s="58" t="inlineStr">
        <is>
          <t>New debt size</t>
        </is>
      </c>
      <c r="D9" s="80">
        <f>D7*D8</f>
        <v/>
      </c>
    </row>
    <row r="10">
      <c r="B10" s="58" t="inlineStr">
        <is>
          <t>Existing debt outstanding at refi</t>
        </is>
      </c>
      <c r="D10" s="61">
        <f>IFERROR(INDEX(Debt!D9:N9,1,Assumptions!$D$80+1),0)</f>
        <v/>
      </c>
    </row>
    <row r="11">
      <c r="B11" s="58" t="inlineStr">
        <is>
          <t>Refi cash inflow / (paydown)</t>
        </is>
      </c>
      <c r="D11" s="80">
        <f>IF(D5=1,D9-D10,0)</f>
        <v/>
      </c>
    </row>
    <row r="12">
      <c r="B12" s="58" t="inlineStr">
        <is>
          <t>Refi fee (one-off)</t>
        </is>
      </c>
      <c r="D12" s="61">
        <f>IF(D5=1,-D9*Assumptions!$D$85,0)</f>
        <v/>
      </c>
    </row>
    <row r="13">
      <c r="B13" s="58" t="inlineStr">
        <is>
          <t>Refi cost of debt</t>
        </is>
      </c>
      <c r="D13" s="98">
        <f>Assumptions!$D$82</f>
        <v/>
      </c>
    </row>
    <row r="14">
      <c r="B14" s="58" t="inlineStr">
        <is>
          <t>Refi tenor (yrs)</t>
        </is>
      </c>
      <c r="D14" s="78">
        <f>Assumptions!$D$83</f>
        <v/>
      </c>
    </row>
    <row r="15">
      <c r="B15" s="58" t="inlineStr">
        <is>
          <t>Refi amortization</t>
        </is>
      </c>
      <c r="D15">
        <f>IF(Assumptions!$D$84=1,"AMORT","BULLET")</f>
        <v/>
      </c>
    </row>
    <row r="17">
      <c r="B17" s="53" t="inlineStr">
        <is>
          <t>REFINANCED-LOAN ANNUAL SCHEDULE</t>
        </is>
      </c>
    </row>
    <row r="18">
      <c r="B18" s="65" t="inlineStr">
        <is>
          <t>Metric</t>
        </is>
      </c>
      <c r="C18" s="65" t="inlineStr">
        <is>
          <t>Y0</t>
        </is>
      </c>
      <c r="D18" s="65" t="inlineStr">
        <is>
          <t>Y1</t>
        </is>
      </c>
      <c r="E18" s="65" t="inlineStr">
        <is>
          <t>Y2</t>
        </is>
      </c>
      <c r="F18" s="65" t="inlineStr">
        <is>
          <t>Y3</t>
        </is>
      </c>
      <c r="G18" s="65" t="inlineStr">
        <is>
          <t>Y4</t>
        </is>
      </c>
      <c r="H18" s="65" t="inlineStr">
        <is>
          <t>Y5</t>
        </is>
      </c>
      <c r="I18" s="65" t="inlineStr">
        <is>
          <t>Y6</t>
        </is>
      </c>
      <c r="J18" s="65" t="inlineStr">
        <is>
          <t>Y7</t>
        </is>
      </c>
      <c r="K18" s="65" t="inlineStr">
        <is>
          <t>Y8</t>
        </is>
      </c>
      <c r="L18" s="65" t="inlineStr">
        <is>
          <t>Y9</t>
        </is>
      </c>
      <c r="M18" s="65" t="inlineStr">
        <is>
          <t>Y10</t>
        </is>
      </c>
    </row>
    <row r="19">
      <c r="D19" s="61" t="n">
        <v>0</v>
      </c>
      <c r="E19" s="61">
        <f>IF(D5=0,0,IF(1=D6,D9,IF(1&gt;D6,MAX(0,D19+D21+D22),0)))</f>
        <v/>
      </c>
      <c r="F19" s="61">
        <f>IF(D5=0,0,IF(2=D6,D9,IF(2&gt;D6,MAX(0,E19+E21+E22),0)))</f>
        <v/>
      </c>
      <c r="G19" s="61">
        <f>IF(D5=0,0,IF(3=D6,D9,IF(3&gt;D6,MAX(0,F19+F21+F22),0)))</f>
        <v/>
      </c>
      <c r="H19" s="61">
        <f>IF(D5=0,0,IF(4=D6,D9,IF(4&gt;D6,MAX(0,G19+G21+G22),0)))</f>
        <v/>
      </c>
      <c r="I19" s="61">
        <f>IF(D5=0,0,IF(5=D6,D9,IF(5&gt;D6,MAX(0,H19+H21+H22),0)))</f>
        <v/>
      </c>
      <c r="J19" s="61">
        <f>IF(D5=0,0,IF(6=D6,D9,IF(6&gt;D6,MAX(0,I19+I21+I22),0)))</f>
        <v/>
      </c>
      <c r="K19" s="61">
        <f>IF(D5=0,0,IF(7=D6,D9,IF(7&gt;D6,MAX(0,J19+J21+J22),0)))</f>
        <v/>
      </c>
      <c r="L19" s="61">
        <f>IF(D5=0,0,IF(8=D6,D9,IF(8&gt;D6,MAX(0,K19+K21+K22),0)))</f>
        <v/>
      </c>
      <c r="M19" s="61">
        <f>IF(D5=0,0,IF(9=D6,D9,IF(9&gt;D6,MAX(0,L19+L21+L22),0)))</f>
        <v/>
      </c>
      <c r="N19" s="61">
        <f>IF(D5=0,0,IF(10=D6,D9,IF(10&gt;D6,MAX(0,M19+M21+M22),0)))</f>
        <v/>
      </c>
    </row>
    <row r="20">
      <c r="B20" s="58" t="inlineStr">
        <is>
          <t>Drawdown / (paydown) at refi</t>
        </is>
      </c>
      <c r="D20" s="61">
        <f>IF(AND(D5=1,0=D6),D9,0)</f>
        <v/>
      </c>
      <c r="E20" s="61">
        <f>IF(AND(D5=1,1=D6),D9,0)</f>
        <v/>
      </c>
      <c r="F20" s="61">
        <f>IF(AND(D5=1,2=D6),D9,0)</f>
        <v/>
      </c>
      <c r="G20" s="61">
        <f>IF(AND(D5=1,3=D6),D9,0)</f>
        <v/>
      </c>
      <c r="H20" s="61">
        <f>IF(AND(D5=1,4=D6),D9,0)</f>
        <v/>
      </c>
      <c r="I20" s="61">
        <f>IF(AND(D5=1,5=D6),D9,0)</f>
        <v/>
      </c>
      <c r="J20" s="61">
        <f>IF(AND(D5=1,6=D6),D9,0)</f>
        <v/>
      </c>
      <c r="K20" s="61">
        <f>IF(AND(D5=1,7=D6),D9,0)</f>
        <v/>
      </c>
      <c r="L20" s="61">
        <f>IF(AND(D5=1,8=D6),D9,0)</f>
        <v/>
      </c>
      <c r="M20" s="61">
        <f>IF(AND(D5=1,9=D6),D9,0)</f>
        <v/>
      </c>
      <c r="N20" s="61">
        <f>IF(AND(D5=1,10=D6),D9,0)</f>
        <v/>
      </c>
    </row>
    <row r="21">
      <c r="B21" s="58" t="inlineStr">
        <is>
          <t>Refi scheduled principal</t>
        </is>
      </c>
      <c r="D21" s="61">
        <f>IF(AND(D5=1,Assumptions!$D$84=1,0&gt;D6,0&lt;Assumptions!$D$7,D14&gt;0),-D9/D14,0)</f>
        <v/>
      </c>
      <c r="E21" s="61">
        <f>IF(AND(D5=1,Assumptions!$D$84=1,1&gt;D6,1&lt;Assumptions!$D$7,D14&gt;0),-D9/D14,0)</f>
        <v/>
      </c>
      <c r="F21" s="61">
        <f>IF(AND(D5=1,Assumptions!$D$84=1,2&gt;D6,2&lt;Assumptions!$D$7,D14&gt;0),-D9/D14,0)</f>
        <v/>
      </c>
      <c r="G21" s="61">
        <f>IF(AND(D5=1,Assumptions!$D$84=1,3&gt;D6,3&lt;Assumptions!$D$7,D14&gt;0),-D9/D14,0)</f>
        <v/>
      </c>
      <c r="H21" s="61">
        <f>IF(AND(D5=1,Assumptions!$D$84=1,4&gt;D6,4&lt;Assumptions!$D$7,D14&gt;0),-D9/D14,0)</f>
        <v/>
      </c>
      <c r="I21" s="61">
        <f>IF(AND(D5=1,Assumptions!$D$84=1,5&gt;D6,5&lt;Assumptions!$D$7,D14&gt;0),-D9/D14,0)</f>
        <v/>
      </c>
      <c r="J21" s="61">
        <f>IF(AND(D5=1,Assumptions!$D$84=1,6&gt;D6,6&lt;Assumptions!$D$7,D14&gt;0),-D9/D14,0)</f>
        <v/>
      </c>
      <c r="K21" s="61">
        <f>IF(AND(D5=1,Assumptions!$D$84=1,7&gt;D6,7&lt;Assumptions!$D$7,D14&gt;0),-D9/D14,0)</f>
        <v/>
      </c>
      <c r="L21" s="61">
        <f>IF(AND(D5=1,Assumptions!$D$84=1,8&gt;D6,8&lt;Assumptions!$D$7,D14&gt;0),-D9/D14,0)</f>
        <v/>
      </c>
      <c r="M21" s="61">
        <f>IF(AND(D5=1,Assumptions!$D$84=1,9&gt;D6,9&lt;Assumptions!$D$7,D14&gt;0),-D9/D14,0)</f>
        <v/>
      </c>
      <c r="N21" s="61">
        <f>IF(AND(D5=1,Assumptions!$D$84=1,10&gt;D6,10&lt;Assumptions!$D$7,D14&gt;0),-D9/D14,0)</f>
        <v/>
      </c>
    </row>
    <row r="22">
      <c r="B22" s="58" t="inlineStr">
        <is>
          <t>Refi bullet at exit</t>
        </is>
      </c>
      <c r="D22" s="61" t="n">
        <v>0</v>
      </c>
      <c r="E22" s="61">
        <f>IF(AND(D5=1,1=Assumptions!$D$7),-MAX(0,D19+D20+D21),0)</f>
        <v/>
      </c>
      <c r="F22" s="61">
        <f>IF(AND(D5=1,2=Assumptions!$D$7),-MAX(0,E19+E20+E21),0)</f>
        <v/>
      </c>
      <c r="G22" s="61">
        <f>IF(AND(D5=1,3=Assumptions!$D$7),-MAX(0,F19+F20+F21),0)</f>
        <v/>
      </c>
      <c r="H22" s="61">
        <f>IF(AND(D5=1,4=Assumptions!$D$7),-MAX(0,G19+G20+G21),0)</f>
        <v/>
      </c>
      <c r="I22" s="61">
        <f>IF(AND(D5=1,5=Assumptions!$D$7),-MAX(0,H19+H20+H21),0)</f>
        <v/>
      </c>
      <c r="J22" s="61">
        <f>IF(AND(D5=1,6=Assumptions!$D$7),-MAX(0,I19+I20+I21),0)</f>
        <v/>
      </c>
      <c r="K22" s="61">
        <f>IF(AND(D5=1,7=Assumptions!$D$7),-MAX(0,J19+J20+J21),0)</f>
        <v/>
      </c>
      <c r="L22" s="61">
        <f>IF(AND(D5=1,8=Assumptions!$D$7),-MAX(0,K19+K20+K21),0)</f>
        <v/>
      </c>
      <c r="M22" s="61">
        <f>IF(AND(D5=1,9=Assumptions!$D$7),-MAX(0,L19+L20+L21),0)</f>
        <v/>
      </c>
      <c r="N22" s="61">
        <f>IF(AND(D5=1,10=Assumptions!$D$7),-MAX(0,M19+M20+M21),0)</f>
        <v/>
      </c>
    </row>
    <row r="23">
      <c r="B23" s="58" t="inlineStr">
        <is>
          <t>Refi interest expense</t>
        </is>
      </c>
      <c r="D23" s="61" t="n">
        <v>0</v>
      </c>
      <c r="E23" s="61">
        <f>IF(D5=1,-D19*D13,0)</f>
        <v/>
      </c>
      <c r="F23" s="61">
        <f>IF(D5=1,-E19*D13,0)</f>
        <v/>
      </c>
      <c r="G23" s="61">
        <f>IF(D5=1,-F19*D13,0)</f>
        <v/>
      </c>
      <c r="H23" s="61">
        <f>IF(D5=1,-G19*D13,0)</f>
        <v/>
      </c>
      <c r="I23" s="61">
        <f>IF(D5=1,-H19*D13,0)</f>
        <v/>
      </c>
      <c r="J23" s="61">
        <f>IF(D5=1,-I19*D13,0)</f>
        <v/>
      </c>
      <c r="K23" s="61">
        <f>IF(D5=1,-J19*D13,0)</f>
        <v/>
      </c>
      <c r="L23" s="61">
        <f>IF(D5=1,-K19*D13,0)</f>
        <v/>
      </c>
      <c r="M23" s="61">
        <f>IF(D5=1,-L19*D13,0)</f>
        <v/>
      </c>
      <c r="N23" s="61">
        <f>IF(D5=1,-M19*D13,0)</f>
        <v/>
      </c>
    </row>
    <row r="25">
      <c r="B25" s="53" t="inlineStr">
        <is>
          <t>REFINANCED-LOAN DSCR (NOI − CapEx) / |Refi debt service|</t>
        </is>
      </c>
    </row>
    <row r="26">
      <c r="E26" s="72">
        <f>IFERROR(IF(D5=0,"-",IF(ABS(E23)+ABS(E21)=0,"-",(OpEx_CapEx!E9+OpEx_CapEx!E23)/(ABS(E23)+ABS(E21)))),"-")</f>
        <v/>
      </c>
      <c r="F26" s="72">
        <f>IFERROR(IF(D5=0,"-",IF(ABS(F23)+ABS(F21)=0,"-",(OpEx_CapEx!F9+OpEx_CapEx!F23)/(ABS(F23)+ABS(F21)))),"-")</f>
        <v/>
      </c>
      <c r="G26" s="72">
        <f>IFERROR(IF(D5=0,"-",IF(ABS(G23)+ABS(G21)=0,"-",(OpEx_CapEx!G9+OpEx_CapEx!G23)/(ABS(G23)+ABS(G21)))),"-")</f>
        <v/>
      </c>
      <c r="H26" s="72">
        <f>IFERROR(IF(D5=0,"-",IF(ABS(H23)+ABS(H21)=0,"-",(OpEx_CapEx!H9+OpEx_CapEx!H23)/(ABS(H23)+ABS(H21)))),"-")</f>
        <v/>
      </c>
      <c r="I26" s="72">
        <f>IFERROR(IF(D5=0,"-",IF(ABS(I23)+ABS(I21)=0,"-",(OpEx_CapEx!I9+OpEx_CapEx!I23)/(ABS(I23)+ABS(I21)))),"-")</f>
        <v/>
      </c>
      <c r="J26" s="72">
        <f>IFERROR(IF(D5=0,"-",IF(ABS(J23)+ABS(J21)=0,"-",(OpEx_CapEx!J9+OpEx_CapEx!J23)/(ABS(J23)+ABS(J21)))),"-")</f>
        <v/>
      </c>
      <c r="K26" s="72">
        <f>IFERROR(IF(D5=0,"-",IF(ABS(K23)+ABS(K21)=0,"-",(OpEx_CapEx!K9+OpEx_CapEx!K23)/(ABS(K23)+ABS(K21)))),"-")</f>
        <v/>
      </c>
      <c r="L26" s="72">
        <f>IFERROR(IF(D5=0,"-",IF(ABS(L23)+ABS(L21)=0,"-",(OpEx_CapEx!L9+OpEx_CapEx!L23)/(ABS(L23)+ABS(L21)))),"-")</f>
        <v/>
      </c>
      <c r="M26" s="72">
        <f>IFERROR(IF(D5=0,"-",IF(ABS(M23)+ABS(M21)=0,"-",(OpEx_CapEx!M9+OpEx_CapEx!M23)/(ABS(M23)+ABS(M21)))),"-")</f>
        <v/>
      </c>
      <c r="N26" s="72">
        <f>IFERROR(IF(D5=0,"-",IF(ABS(N23)+ABS(N21)=0,"-",(OpEx_CapEx!N9+OpEx_CapEx!N23)/(ABS(N23)+ABS(N21)))),"-")</f>
        <v/>
      </c>
    </row>
    <row r="27">
      <c r="B27" s="58" t="inlineStr">
        <is>
          <t>Refi total debt service (cash out)</t>
        </is>
      </c>
      <c r="D27" s="61">
        <f>D23+D21+D22</f>
        <v/>
      </c>
      <c r="E27" s="61">
        <f>E23+E21+E22</f>
        <v/>
      </c>
      <c r="F27" s="61">
        <f>F23+F21+F22</f>
        <v/>
      </c>
      <c r="G27" s="61">
        <f>G23+G21+G22</f>
        <v/>
      </c>
      <c r="H27" s="61">
        <f>H23+H21+H22</f>
        <v/>
      </c>
      <c r="I27" s="61">
        <f>I23+I21+I22</f>
        <v/>
      </c>
      <c r="J27" s="61">
        <f>J23+J21+J22</f>
        <v/>
      </c>
      <c r="K27" s="61">
        <f>K23+K21+K22</f>
        <v/>
      </c>
      <c r="L27" s="61">
        <f>L23+L21+L22</f>
        <v/>
      </c>
      <c r="M27" s="61">
        <f>M23+M21+M22</f>
        <v/>
      </c>
      <c r="N27" s="61">
        <f>N23+N21+N22</f>
        <v/>
      </c>
    </row>
    <row r="29">
      <c r="B29" s="69" t="inlineStr">
        <is>
          <t>Net refi cash to equity (drawdown − paydown − fee)</t>
        </is>
      </c>
      <c r="D29" s="80">
        <f>IF(AND(D5=1,0=D6),D11+D12,0)</f>
        <v/>
      </c>
      <c r="E29" s="80">
        <f>IF(AND(D5=1,1=D6),D11+D12,0)</f>
        <v/>
      </c>
      <c r="F29" s="80">
        <f>IF(AND(D5=1,2=D6),D11+D12,0)</f>
        <v/>
      </c>
      <c r="G29" s="80">
        <f>IF(AND(D5=1,3=D6),D11+D12,0)</f>
        <v/>
      </c>
      <c r="H29" s="80">
        <f>IF(AND(D5=1,4=D6),D11+D12,0)</f>
        <v/>
      </c>
      <c r="I29" s="80">
        <f>IF(AND(D5=1,5=D6),D11+D12,0)</f>
        <v/>
      </c>
      <c r="J29" s="80">
        <f>IF(AND(D5=1,6=D6),D11+D12,0)</f>
        <v/>
      </c>
      <c r="K29" s="80">
        <f>IF(AND(D5=1,7=D6),D11+D12,0)</f>
        <v/>
      </c>
      <c r="L29" s="80">
        <f>IF(AND(D5=1,8=D6),D11+D12,0)</f>
        <v/>
      </c>
      <c r="M29" s="80">
        <f>IF(AND(D5=1,9=D6),D11+D12,0)</f>
        <v/>
      </c>
      <c r="N29" s="80">
        <f>IF(AND(D5=1,10=D6),D11+D12,0)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F33"/>
  <sheetViews>
    <sheetView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8" customWidth="1" min="3" max="3"/>
    <col width="22" customWidth="1" min="4" max="4"/>
    <col width="22" customWidth="1" min="5" max="5"/>
    <col width="22" customWidth="1" min="6" max="6"/>
  </cols>
  <sheetData>
    <row r="2">
      <c r="B2" s="73" t="inlineStr">
        <is>
          <t>RESERVE ACCOUNTS — institutional liquidity stack</t>
        </is>
      </c>
    </row>
    <row r="3">
      <c r="B3" s="52" t="inlineStr">
        <is>
          <t>Required liquidity at closing and minimum runway during operations.</t>
        </is>
      </c>
    </row>
    <row r="5">
      <c r="B5" s="53" t="inlineStr">
        <is>
          <t>INITIAL FUNDING AT CLOSING (Y0)</t>
        </is>
      </c>
    </row>
    <row r="6">
      <c r="B6" s="58" t="inlineStr">
        <is>
          <t>Annual debt service (Y1, approx)</t>
        </is>
      </c>
      <c r="D6" s="61">
        <f>ABS(Debt!E12)</f>
        <v/>
      </c>
    </row>
    <row r="7">
      <c r="B7" s="69" t="inlineStr">
        <is>
          <t>DSRA required (months × DS / 12)</t>
        </is>
      </c>
      <c r="D7" s="82">
        <f>Assumptions!$D$89/12*D6</f>
        <v/>
      </c>
    </row>
    <row r="8">
      <c r="B8" s="58" t="inlineStr">
        <is>
          <t>DSRA funded (assumed 100%)</t>
        </is>
      </c>
      <c r="D8" s="61">
        <f>D7</f>
        <v/>
      </c>
    </row>
    <row r="9">
      <c r="B9" s="58" t="inlineStr">
        <is>
          <t>Annual OpEx (Y1, approx)</t>
        </is>
      </c>
      <c r="D9" s="61">
        <f>ABS(OpEx_CapEx!E8)+ABS(OpEx_CapEx!E17)</f>
        <v/>
      </c>
    </row>
    <row r="10">
      <c r="B10" s="58" t="inlineStr">
        <is>
          <t>Operating reserve required</t>
        </is>
      </c>
      <c r="D10" s="82">
        <f>Assumptions!$D$90/12*D9</f>
        <v/>
      </c>
    </row>
    <row r="11">
      <c r="B11" s="58" t="inlineStr">
        <is>
          <t>Annual CapEx (Y1, approx)</t>
        </is>
      </c>
      <c r="D11" s="61">
        <f>ABS(OpEx_CapEx!E21)</f>
        <v/>
      </c>
    </row>
    <row r="12">
      <c r="B12" s="58" t="inlineStr">
        <is>
          <t>CapEx reserve required</t>
        </is>
      </c>
      <c r="D12" s="82">
        <f>Assumptions!$D$91/12*D11</f>
        <v/>
      </c>
    </row>
    <row r="13">
      <c r="B13" s="58" t="inlineStr">
        <is>
          <t>Contingency reserve</t>
        </is>
      </c>
      <c r="D13" s="82">
        <f>Assumptions!$D$92*Assumptions!$D$16</f>
        <v/>
      </c>
    </row>
    <row r="14">
      <c r="B14" s="69" t="inlineStr">
        <is>
          <t>TOTAL RESERVES AT CLOSING</t>
        </is>
      </c>
      <c r="D14" s="83">
        <f>D8+D10+D12+D13</f>
        <v/>
      </c>
    </row>
    <row r="15">
      <c r="B15" s="69" t="inlineStr">
        <is>
          <t>Incremental equity check vs base case</t>
        </is>
      </c>
      <c r="D15" s="83">
        <f>D14</f>
        <v/>
      </c>
    </row>
    <row r="16">
      <c r="B16" s="58" t="inlineStr">
        <is>
          <t>Total project cost (incl. reserves)</t>
        </is>
      </c>
      <c r="D16" s="61">
        <f>Assumptions!$D$16+D14</f>
        <v/>
      </c>
    </row>
    <row r="18">
      <c r="B18" s="53" t="inlineStr">
        <is>
          <t>MINIMUM LIQUIDITY THRESHOLDS</t>
        </is>
      </c>
    </row>
    <row r="19">
      <c r="B19" s="65" t="inlineStr">
        <is>
          <t>Year</t>
        </is>
      </c>
      <c r="C19" s="65" t="inlineStr">
        <is>
          <t>Equity FCF (annual)</t>
        </is>
      </c>
      <c r="D19" s="65" t="inlineStr">
        <is>
          <t>Cumulative liquidity (incl reserves)</t>
        </is>
      </c>
      <c r="E19" s="65" t="inlineStr">
        <is>
          <t>Min cash floor</t>
        </is>
      </c>
      <c r="F19" s="65" t="inlineStr">
        <is>
          <t>Runway test</t>
        </is>
      </c>
    </row>
    <row r="20">
      <c r="B20" s="74" t="n">
        <v>0</v>
      </c>
      <c r="C20" s="61">
        <f>Cash_Flow!D25</f>
        <v/>
      </c>
      <c r="D20" s="61">
        <f>D14+C20</f>
        <v/>
      </c>
      <c r="E20" s="61">
        <f>Assumptions!$D$93</f>
        <v/>
      </c>
      <c r="F20" s="60">
        <f>IF(D20&gt;=E20,"OK","BREACH")</f>
        <v/>
      </c>
    </row>
    <row r="21">
      <c r="B21" s="74" t="n">
        <v>1</v>
      </c>
      <c r="C21" s="61">
        <f>Cash_Flow!E25</f>
        <v/>
      </c>
      <c r="D21" s="61">
        <f>D20+C21</f>
        <v/>
      </c>
      <c r="E21" s="61">
        <f>Assumptions!$D$93</f>
        <v/>
      </c>
      <c r="F21" s="60">
        <f>IF(D21&gt;=E21,"OK","BREACH")</f>
        <v/>
      </c>
    </row>
    <row r="22">
      <c r="B22" s="74" t="n">
        <v>2</v>
      </c>
      <c r="C22" s="61">
        <f>Cash_Flow!F25</f>
        <v/>
      </c>
      <c r="D22" s="61">
        <f>D21+C22</f>
        <v/>
      </c>
      <c r="E22" s="61">
        <f>Assumptions!$D$93</f>
        <v/>
      </c>
      <c r="F22" s="60">
        <f>IF(D22&gt;=E22,"OK","BREACH")</f>
        <v/>
      </c>
    </row>
    <row r="23">
      <c r="B23" s="74" t="n">
        <v>3</v>
      </c>
      <c r="C23" s="61">
        <f>Cash_Flow!G25</f>
        <v/>
      </c>
      <c r="D23" s="61">
        <f>D22+C23</f>
        <v/>
      </c>
      <c r="E23" s="61">
        <f>Assumptions!$D$93</f>
        <v/>
      </c>
      <c r="F23" s="60">
        <f>IF(D23&gt;=E23,"OK","BREACH")</f>
        <v/>
      </c>
    </row>
    <row r="24">
      <c r="B24" s="74" t="n">
        <v>4</v>
      </c>
      <c r="C24" s="61">
        <f>Cash_Flow!H25</f>
        <v/>
      </c>
      <c r="D24" s="61">
        <f>D23+C24</f>
        <v/>
      </c>
      <c r="E24" s="61">
        <f>Assumptions!$D$93</f>
        <v/>
      </c>
      <c r="F24" s="60">
        <f>IF(D24&gt;=E24,"OK","BREACH")</f>
        <v/>
      </c>
    </row>
    <row r="25">
      <c r="B25" s="74" t="n">
        <v>5</v>
      </c>
      <c r="C25" s="61">
        <f>Cash_Flow!I25</f>
        <v/>
      </c>
      <c r="D25" s="61">
        <f>D24+C25</f>
        <v/>
      </c>
      <c r="E25" s="61">
        <f>Assumptions!$D$93</f>
        <v/>
      </c>
      <c r="F25" s="60">
        <f>IF(D25&gt;=E25,"OK","BREACH")</f>
        <v/>
      </c>
    </row>
    <row r="26">
      <c r="B26" s="74" t="n">
        <v>6</v>
      </c>
      <c r="C26" s="61">
        <f>Cash_Flow!J25</f>
        <v/>
      </c>
      <c r="D26" s="61">
        <f>D25+C26</f>
        <v/>
      </c>
      <c r="E26" s="61">
        <f>Assumptions!$D$93</f>
        <v/>
      </c>
      <c r="F26" s="60">
        <f>IF(D26&gt;=E26,"OK","BREACH")</f>
        <v/>
      </c>
    </row>
    <row r="27">
      <c r="B27" s="74" t="n">
        <v>7</v>
      </c>
      <c r="C27" s="61">
        <f>Cash_Flow!K25</f>
        <v/>
      </c>
      <c r="D27" s="61">
        <f>D26+C27</f>
        <v/>
      </c>
      <c r="E27" s="61">
        <f>Assumptions!$D$93</f>
        <v/>
      </c>
      <c r="F27" s="60">
        <f>IF(D27&gt;=E27,"OK","BREACH")</f>
        <v/>
      </c>
    </row>
    <row r="28">
      <c r="B28" s="74" t="n">
        <v>8</v>
      </c>
      <c r="C28" s="61">
        <f>Cash_Flow!L25</f>
        <v/>
      </c>
      <c r="D28" s="61">
        <f>D27+C28</f>
        <v/>
      </c>
      <c r="E28" s="61">
        <f>Assumptions!$D$93</f>
        <v/>
      </c>
      <c r="F28" s="60">
        <f>IF(D28&gt;=E28,"OK","BREACH")</f>
        <v/>
      </c>
    </row>
    <row r="29">
      <c r="B29" s="74" t="n">
        <v>9</v>
      </c>
      <c r="C29" s="61">
        <f>Cash_Flow!M25</f>
        <v/>
      </c>
      <c r="D29" s="61">
        <f>D28+C29</f>
        <v/>
      </c>
      <c r="E29" s="61">
        <f>Assumptions!$D$93</f>
        <v/>
      </c>
      <c r="F29" s="60">
        <f>IF(D29&gt;=E29,"OK","BREACH")</f>
        <v/>
      </c>
    </row>
    <row r="30">
      <c r="B30" s="74" t="n">
        <v>10</v>
      </c>
      <c r="C30" s="61">
        <f>Cash_Flow!N25</f>
        <v/>
      </c>
      <c r="D30" s="61">
        <f>D29+C30</f>
        <v/>
      </c>
      <c r="E30" s="61">
        <f>Assumptions!$D$93</f>
        <v/>
      </c>
      <c r="F30" s="60">
        <f>IF(D30&gt;=E30,"OK","BREACH")</f>
        <v/>
      </c>
    </row>
    <row r="32">
      <c r="B32" s="69" t="inlineStr">
        <is>
          <t>Minimum liquidity over hold</t>
        </is>
      </c>
      <c r="D32" s="82">
        <f>MIN(D20:D30)</f>
        <v/>
      </c>
    </row>
    <row r="33">
      <c r="B33" s="58" t="inlineStr">
        <is>
          <t>Liquidity runway at trough (months of debt service)</t>
        </is>
      </c>
      <c r="D33" s="84">
        <f>D32/(D6/12)</f>
        <v/>
      </c>
    </row>
  </sheetData>
  <conditionalFormatting sqref="F20:F30">
    <cfRule type="cellIs" priority="1" operator="equal" dxfId="4">
      <formula>"BREACH"</formula>
    </cfRule>
    <cfRule type="cellIs" priority="2" operator="equal" dxfId="5">
      <formula>"OK"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N13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40" customWidth="1" min="2" max="2"/>
    <col width="2" customWidth="1" min="3" max="3"/>
    <col width="13" customWidth="1" min="4" max="14"/>
  </cols>
  <sheetData>
    <row r="2" ht="27.75" customHeight="1">
      <c r="B2" s="3" t="inlineStr">
        <is>
          <t>TAX SCHEDULE</t>
        </is>
      </c>
    </row>
    <row r="3" ht="15" customHeight="1">
      <c r="B3" s="9" t="inlineStr">
        <is>
          <t>Period</t>
        </is>
      </c>
      <c r="D3" s="22" t="n">
        <v>0</v>
      </c>
      <c r="E3" s="22" t="n">
        <v>1</v>
      </c>
      <c r="F3" s="22" t="n">
        <v>2</v>
      </c>
      <c r="G3" s="22" t="n">
        <v>3</v>
      </c>
      <c r="H3" s="22" t="n">
        <v>4</v>
      </c>
      <c r="I3" s="22" t="n">
        <v>5</v>
      </c>
      <c r="J3" s="22" t="n">
        <v>6</v>
      </c>
      <c r="K3" s="22" t="n">
        <v>7</v>
      </c>
      <c r="L3" s="22" t="n">
        <v>8</v>
      </c>
      <c r="M3" s="22" t="n">
        <v>9</v>
      </c>
      <c r="N3" s="22" t="n">
        <v>10</v>
      </c>
    </row>
    <row r="4" ht="15" customHeight="1">
      <c r="B4" s="9" t="inlineStr">
        <is>
          <t>Year</t>
        </is>
      </c>
      <c r="D4" s="22">
        <f>Assumptions!$D$6+0</f>
        <v/>
      </c>
      <c r="E4" s="22">
        <f>Assumptions!$D$6+1</f>
        <v/>
      </c>
      <c r="F4" s="22">
        <f>Assumptions!$D$6+2</f>
        <v/>
      </c>
      <c r="G4" s="22">
        <f>Assumptions!$D$6+3</f>
        <v/>
      </c>
      <c r="H4" s="22">
        <f>Assumptions!$D$6+4</f>
        <v/>
      </c>
      <c r="I4" s="22">
        <f>Assumptions!$D$6+5</f>
        <v/>
      </c>
      <c r="J4" s="22">
        <f>Assumptions!$D$6+6</f>
        <v/>
      </c>
      <c r="K4" s="22">
        <f>Assumptions!$D$6+7</f>
        <v/>
      </c>
      <c r="L4" s="22">
        <f>Assumptions!$D$6+8</f>
        <v/>
      </c>
      <c r="M4" s="22">
        <f>Assumptions!$D$6+9</f>
        <v/>
      </c>
      <c r="N4" s="22">
        <f>Assumptions!$D$6+10</f>
        <v/>
      </c>
    </row>
    <row r="5" ht="15" customHeight="1">
      <c r="B5" s="10" t="inlineStr">
        <is>
          <t>EBITDA (from OpEx_CapEx)</t>
        </is>
      </c>
      <c r="D5" s="25">
        <f>OpEx_CapEx!D18</f>
        <v/>
      </c>
      <c r="E5" s="25">
        <f>OpEx_CapEx!E18</f>
        <v/>
      </c>
      <c r="F5" s="25">
        <f>OpEx_CapEx!F18</f>
        <v/>
      </c>
      <c r="G5" s="25">
        <f>OpEx_CapEx!G18</f>
        <v/>
      </c>
      <c r="H5" s="25">
        <f>OpEx_CapEx!H18</f>
        <v/>
      </c>
      <c r="I5" s="25">
        <f>OpEx_CapEx!I18</f>
        <v/>
      </c>
      <c r="J5" s="25">
        <f>OpEx_CapEx!J18</f>
        <v/>
      </c>
      <c r="K5" s="25">
        <f>OpEx_CapEx!K18</f>
        <v/>
      </c>
      <c r="L5" s="25">
        <f>OpEx_CapEx!L18</f>
        <v/>
      </c>
      <c r="M5" s="25">
        <f>OpEx_CapEx!M18</f>
        <v/>
      </c>
      <c r="N5" s="25">
        <f>OpEx_CapEx!N18</f>
        <v/>
      </c>
    </row>
    <row r="6" ht="15" customHeight="1">
      <c r="B6" s="10" t="inlineStr">
        <is>
          <t>Less: Interest expense</t>
        </is>
      </c>
      <c r="D6" s="25">
        <f>Debt!D10</f>
        <v/>
      </c>
      <c r="E6" s="25">
        <f>Debt!E10</f>
        <v/>
      </c>
      <c r="F6" s="25">
        <f>Debt!F10</f>
        <v/>
      </c>
      <c r="G6" s="25">
        <f>Debt!G10</f>
        <v/>
      </c>
      <c r="H6" s="25">
        <f>Debt!H10</f>
        <v/>
      </c>
      <c r="I6" s="25">
        <f>Debt!I10</f>
        <v/>
      </c>
      <c r="J6" s="25">
        <f>Debt!J10</f>
        <v/>
      </c>
      <c r="K6" s="25">
        <f>Debt!K10</f>
        <v/>
      </c>
      <c r="L6" s="25">
        <f>Debt!L10</f>
        <v/>
      </c>
      <c r="M6" s="25">
        <f>Debt!M10</f>
        <v/>
      </c>
      <c r="N6" s="25">
        <f>Debt!N10</f>
        <v/>
      </c>
    </row>
    <row r="7" ht="15" customHeight="1">
      <c r="B7" s="10" t="inlineStr">
        <is>
          <t>Less: Depreciation proxy (CapEx)</t>
        </is>
      </c>
      <c r="D7" s="25">
        <f>OpEx_CapEx!D23</f>
        <v/>
      </c>
      <c r="E7" s="25">
        <f>OpEx_CapEx!E23</f>
        <v/>
      </c>
      <c r="F7" s="25">
        <f>OpEx_CapEx!F23</f>
        <v/>
      </c>
      <c r="G7" s="25">
        <f>OpEx_CapEx!G23</f>
        <v/>
      </c>
      <c r="H7" s="25">
        <f>OpEx_CapEx!H23</f>
        <v/>
      </c>
      <c r="I7" s="25">
        <f>OpEx_CapEx!I23</f>
        <v/>
      </c>
      <c r="J7" s="25">
        <f>OpEx_CapEx!J23</f>
        <v/>
      </c>
      <c r="K7" s="25">
        <f>OpEx_CapEx!K23</f>
        <v/>
      </c>
      <c r="L7" s="25">
        <f>OpEx_CapEx!L23</f>
        <v/>
      </c>
      <c r="M7" s="25">
        <f>OpEx_CapEx!M23</f>
        <v/>
      </c>
      <c r="N7" s="25">
        <f>OpEx_CapEx!N23</f>
        <v/>
      </c>
    </row>
    <row r="8" ht="15" customHeight="1">
      <c r="B8" s="31" t="inlineStr">
        <is>
          <t>Earnings before tax (EBT)</t>
        </is>
      </c>
      <c r="D8" s="32">
        <f>D5+D6+D7</f>
        <v/>
      </c>
      <c r="E8" s="32">
        <f>E5+E6+E7</f>
        <v/>
      </c>
      <c r="F8" s="32">
        <f>F5+F6+F7</f>
        <v/>
      </c>
      <c r="G8" s="32">
        <f>G5+G6+G7</f>
        <v/>
      </c>
      <c r="H8" s="32">
        <f>H5+H6+H7</f>
        <v/>
      </c>
      <c r="I8" s="32">
        <f>I5+I6+I7</f>
        <v/>
      </c>
      <c r="J8" s="32">
        <f>J5+J6+J7</f>
        <v/>
      </c>
      <c r="K8" s="32">
        <f>K5+K6+K7</f>
        <v/>
      </c>
      <c r="L8" s="32">
        <f>L5+L6+L7</f>
        <v/>
      </c>
      <c r="M8" s="32">
        <f>M5+M6+M7</f>
        <v/>
      </c>
      <c r="N8" s="32">
        <f>N5+N6+N7</f>
        <v/>
      </c>
    </row>
    <row r="9" ht="15" customHeight="1">
      <c r="B9" s="10" t="inlineStr">
        <is>
          <t xml:space="preserve">  Zakat (on shielded base = equity × (1−haircut))</t>
        </is>
      </c>
      <c r="D9" s="85">
        <f>-Assumptions!$D$77*Assumptions!$D$57*Timeline!D5</f>
        <v/>
      </c>
      <c r="E9" s="85">
        <f>-Assumptions!$D$77*Assumptions!$D$57*Timeline!E5</f>
        <v/>
      </c>
      <c r="F9" s="85">
        <f>-Assumptions!$D$77*Assumptions!$D$57*Timeline!F5</f>
        <v/>
      </c>
      <c r="G9" s="85">
        <f>-Assumptions!$D$77*Assumptions!$D$57*Timeline!G5</f>
        <v/>
      </c>
      <c r="H9" s="85">
        <f>-Assumptions!$D$77*Assumptions!$D$57*Timeline!H5</f>
        <v/>
      </c>
      <c r="I9" s="85">
        <f>-Assumptions!$D$77*Assumptions!$D$57*Timeline!I5</f>
        <v/>
      </c>
      <c r="J9" s="85">
        <f>-Assumptions!$D$77*Assumptions!$D$57*Timeline!J5</f>
        <v/>
      </c>
      <c r="K9" s="85">
        <f>-Assumptions!$D$77*Assumptions!$D$57*Timeline!K5</f>
        <v/>
      </c>
      <c r="L9" s="85">
        <f>-Assumptions!$D$77*Assumptions!$D$57*Timeline!L5</f>
        <v/>
      </c>
      <c r="M9" s="85">
        <f>-Assumptions!$D$77*Assumptions!$D$57*Timeline!M5</f>
        <v/>
      </c>
      <c r="N9" s="85">
        <f>-Assumptions!$D$77*Assumptions!$D$57*Timeline!N5</f>
        <v/>
      </c>
    </row>
    <row r="10" ht="15" customHeight="1">
      <c r="B10" s="10" t="inlineStr">
        <is>
          <t xml:space="preserve">  Corporate tax (on positive EBT)</t>
        </is>
      </c>
      <c r="D10" s="25">
        <f>-MAX(D8,0)*Assumptions!$D$58*Timeline!D5</f>
        <v/>
      </c>
      <c r="E10" s="25">
        <f>-MAX(E8,0)*Assumptions!$D$58*Timeline!E5</f>
        <v/>
      </c>
      <c r="F10" s="25">
        <f>-MAX(F8,0)*Assumptions!$D$58*Timeline!F5</f>
        <v/>
      </c>
      <c r="G10" s="25">
        <f>-MAX(G8,0)*Assumptions!$D$58*Timeline!G5</f>
        <v/>
      </c>
      <c r="H10" s="25">
        <f>-MAX(H8,0)*Assumptions!$D$58*Timeline!H5</f>
        <v/>
      </c>
      <c r="I10" s="25">
        <f>-MAX(I8,0)*Assumptions!$D$58*Timeline!I5</f>
        <v/>
      </c>
      <c r="J10" s="25">
        <f>-MAX(J8,0)*Assumptions!$D$58*Timeline!J5</f>
        <v/>
      </c>
      <c r="K10" s="25">
        <f>-MAX(K8,0)*Assumptions!$D$58*Timeline!K5</f>
        <v/>
      </c>
      <c r="L10" s="25">
        <f>-MAX(L8,0)*Assumptions!$D$58*Timeline!L5</f>
        <v/>
      </c>
      <c r="M10" s="25">
        <f>-MAX(M8,0)*Assumptions!$D$58*Timeline!M5</f>
        <v/>
      </c>
      <c r="N10" s="25">
        <f>-MAX(N8,0)*Assumptions!$D$58*Timeline!N5</f>
        <v/>
      </c>
    </row>
    <row r="11" ht="15" customHeight="1">
      <c r="B11" s="10" t="inlineStr">
        <is>
          <t xml:space="preserve">  Withholding tax on equity distributions</t>
        </is>
      </c>
      <c r="D11" s="25">
        <f>-MAX(D8+D9+D10,0)*Assumptions!$D$59*Timeline!D5</f>
        <v/>
      </c>
      <c r="E11" s="25">
        <f>-MAX(E8+E9+E10,0)*Assumptions!$D$59*Timeline!E5</f>
        <v/>
      </c>
      <c r="F11" s="25">
        <f>-MAX(F8+F9+F10,0)*Assumptions!$D$59*Timeline!F5</f>
        <v/>
      </c>
      <c r="G11" s="25">
        <f>-MAX(G8+G9+G10,0)*Assumptions!$D$59*Timeline!G5</f>
        <v/>
      </c>
      <c r="H11" s="25">
        <f>-MAX(H8+H9+H10,0)*Assumptions!$D$59*Timeline!H5</f>
        <v/>
      </c>
      <c r="I11" s="25">
        <f>-MAX(I8+I9+I10,0)*Assumptions!$D$59*Timeline!I5</f>
        <v/>
      </c>
      <c r="J11" s="25">
        <f>-MAX(J8+J9+J10,0)*Assumptions!$D$59*Timeline!J5</f>
        <v/>
      </c>
      <c r="K11" s="25">
        <f>-MAX(K8+K9+K10,0)*Assumptions!$D$59*Timeline!K5</f>
        <v/>
      </c>
      <c r="L11" s="25">
        <f>-MAX(L8+L9+L10,0)*Assumptions!$D$59*Timeline!L5</f>
        <v/>
      </c>
      <c r="M11" s="25">
        <f>-MAX(M8+M9+M10,0)*Assumptions!$D$59*Timeline!M5</f>
        <v/>
      </c>
      <c r="N11" s="25">
        <f>-MAX(N8+N9+N10,0)*Assumptions!$D$59*Timeline!N5</f>
        <v/>
      </c>
    </row>
    <row r="12" ht="15" customHeight="1">
      <c r="B12" s="26" t="inlineStr">
        <is>
          <t>TOTAL TAX (negative = cash out)</t>
        </is>
      </c>
      <c r="D12" s="27">
        <f>D9+D10+D11</f>
        <v/>
      </c>
      <c r="E12" s="27">
        <f>E9+E10+E11</f>
        <v/>
      </c>
      <c r="F12" s="27">
        <f>F9+F10+F11</f>
        <v/>
      </c>
      <c r="G12" s="27">
        <f>G9+G10+G11</f>
        <v/>
      </c>
      <c r="H12" s="27">
        <f>H9+H10+H11</f>
        <v/>
      </c>
      <c r="I12" s="27">
        <f>I9+I10+I11</f>
        <v/>
      </c>
      <c r="J12" s="27">
        <f>J9+J10+J11</f>
        <v/>
      </c>
      <c r="K12" s="27">
        <f>K9+K10+K11</f>
        <v/>
      </c>
      <c r="L12" s="27">
        <f>L9+L10+L11</f>
        <v/>
      </c>
      <c r="M12" s="27">
        <f>M9+M10+M11</f>
        <v/>
      </c>
      <c r="N12" s="27">
        <f>N9+N10+N11</f>
        <v/>
      </c>
    </row>
    <row r="13" ht="15" customHeight="1">
      <c r="B13" s="10" t="inlineStr">
        <is>
          <t>Disposal tax (one-off at exit)</t>
        </is>
      </c>
      <c r="D13" s="25">
        <f>-DCF!D9*Assumptions!$D$60</f>
        <v/>
      </c>
      <c r="E13" s="25">
        <f>-DCF!E9*Assumptions!$D$60</f>
        <v/>
      </c>
      <c r="F13" s="25">
        <f>-DCF!F9*Assumptions!$D$60</f>
        <v/>
      </c>
      <c r="G13" s="25">
        <f>-DCF!G9*Assumptions!$D$60</f>
        <v/>
      </c>
      <c r="H13" s="25">
        <f>-DCF!H9*Assumptions!$D$60</f>
        <v/>
      </c>
      <c r="I13" s="25">
        <f>-DCF!I9*Assumptions!$D$60</f>
        <v/>
      </c>
      <c r="J13" s="25">
        <f>-DCF!J9*Assumptions!$D$60</f>
        <v/>
      </c>
      <c r="K13" s="25">
        <f>-DCF!K9*Assumptions!$D$60</f>
        <v/>
      </c>
      <c r="L13" s="25">
        <f>-DCF!L9*Assumptions!$D$60</f>
        <v/>
      </c>
      <c r="M13" s="25">
        <f>-DCF!M9*Assumptions!$D$60</f>
        <v/>
      </c>
      <c r="N13" s="25">
        <f>-DCF!N9*Assumptions!$D$60</f>
        <v/>
      </c>
    </row>
  </sheetData>
  <mergeCells count="1">
    <mergeCell ref="B2:N2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N27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40" customWidth="1" min="2" max="2"/>
    <col width="2" customWidth="1" min="3" max="3"/>
    <col width="13" customWidth="1" min="4" max="14"/>
  </cols>
  <sheetData>
    <row r="2" ht="27.75" customHeight="1">
      <c r="B2" s="3" t="inlineStr">
        <is>
          <t>CASH FLOW STATEMENT (Project &amp; Equity)</t>
        </is>
      </c>
    </row>
    <row r="3" ht="15" customHeight="1">
      <c r="B3" s="9" t="inlineStr">
        <is>
          <t>Period</t>
        </is>
      </c>
      <c r="D3" s="22" t="n">
        <v>0</v>
      </c>
      <c r="E3" s="22" t="n">
        <v>1</v>
      </c>
      <c r="F3" s="22" t="n">
        <v>2</v>
      </c>
      <c r="G3" s="22" t="n">
        <v>3</v>
      </c>
      <c r="H3" s="22" t="n">
        <v>4</v>
      </c>
      <c r="I3" s="22" t="n">
        <v>5</v>
      </c>
      <c r="J3" s="22" t="n">
        <v>6</v>
      </c>
      <c r="K3" s="22" t="n">
        <v>7</v>
      </c>
      <c r="L3" s="22" t="n">
        <v>8</v>
      </c>
      <c r="M3" s="22" t="n">
        <v>9</v>
      </c>
      <c r="N3" s="22" t="n">
        <v>10</v>
      </c>
    </row>
    <row r="4" ht="15" customHeight="1">
      <c r="B4" s="9" t="inlineStr">
        <is>
          <t>Year</t>
        </is>
      </c>
      <c r="D4" s="22">
        <f>Assumptions!$D$6+0</f>
        <v/>
      </c>
      <c r="E4" s="22">
        <f>Assumptions!$D$6+1</f>
        <v/>
      </c>
      <c r="F4" s="22">
        <f>Assumptions!$D$6+2</f>
        <v/>
      </c>
      <c r="G4" s="22">
        <f>Assumptions!$D$6+3</f>
        <v/>
      </c>
      <c r="H4" s="22">
        <f>Assumptions!$D$6+4</f>
        <v/>
      </c>
      <c r="I4" s="22">
        <f>Assumptions!$D$6+5</f>
        <v/>
      </c>
      <c r="J4" s="22">
        <f>Assumptions!$D$6+6</f>
        <v/>
      </c>
      <c r="K4" s="22">
        <f>Assumptions!$D$6+7</f>
        <v/>
      </c>
      <c r="L4" s="22">
        <f>Assumptions!$D$6+8</f>
        <v/>
      </c>
      <c r="M4" s="22">
        <f>Assumptions!$D$6+9</f>
        <v/>
      </c>
      <c r="N4" s="22">
        <f>Assumptions!$D$6+10</f>
        <v/>
      </c>
    </row>
    <row r="5" ht="15" customHeight="1">
      <c r="B5" s="2" t="inlineStr">
        <is>
          <t>UNLEVERED (PROJECT) CASH FLOW</t>
        </is>
      </c>
    </row>
    <row r="6" ht="15" customHeight="1">
      <c r="B6" s="10" t="inlineStr">
        <is>
          <t>Revenue (EGI)</t>
        </is>
      </c>
      <c r="D6" s="25">
        <f>Revenue!D7</f>
        <v/>
      </c>
      <c r="E6" s="25">
        <f>Revenue!E7</f>
        <v/>
      </c>
      <c r="F6" s="25">
        <f>Revenue!F7</f>
        <v/>
      </c>
      <c r="G6" s="25">
        <f>Revenue!G7</f>
        <v/>
      </c>
      <c r="H6" s="25">
        <f>Revenue!H7</f>
        <v/>
      </c>
      <c r="I6" s="25">
        <f>Revenue!I7</f>
        <v/>
      </c>
      <c r="J6" s="25">
        <f>Revenue!J7</f>
        <v/>
      </c>
      <c r="K6" s="25">
        <f>Revenue!K7</f>
        <v/>
      </c>
      <c r="L6" s="25">
        <f>Revenue!L7</f>
        <v/>
      </c>
      <c r="M6" s="25">
        <f>Revenue!M7</f>
        <v/>
      </c>
      <c r="N6" s="25">
        <f>Revenue!N7</f>
        <v/>
      </c>
    </row>
    <row r="7" ht="15" customHeight="1">
      <c r="B7" s="10" t="inlineStr">
        <is>
          <t>Operating expenses</t>
        </is>
      </c>
      <c r="D7" s="25">
        <f>OpEx_CapEx!D8</f>
        <v/>
      </c>
      <c r="E7" s="25">
        <f>OpEx_CapEx!E8</f>
        <v/>
      </c>
      <c r="F7" s="25">
        <f>OpEx_CapEx!F8</f>
        <v/>
      </c>
      <c r="G7" s="25">
        <f>OpEx_CapEx!G8</f>
        <v/>
      </c>
      <c r="H7" s="25">
        <f>OpEx_CapEx!H8</f>
        <v/>
      </c>
      <c r="I7" s="25">
        <f>OpEx_CapEx!I8</f>
        <v/>
      </c>
      <c r="J7" s="25">
        <f>OpEx_CapEx!J8</f>
        <v/>
      </c>
      <c r="K7" s="25">
        <f>OpEx_CapEx!K8</f>
        <v/>
      </c>
      <c r="L7" s="25">
        <f>OpEx_CapEx!L8</f>
        <v/>
      </c>
      <c r="M7" s="25">
        <f>OpEx_CapEx!M8</f>
        <v/>
      </c>
      <c r="N7" s="25">
        <f>OpEx_CapEx!N8</f>
        <v/>
      </c>
    </row>
    <row r="8" ht="15" customHeight="1">
      <c r="B8" s="10" t="inlineStr">
        <is>
          <t>NOI</t>
        </is>
      </c>
      <c r="D8" s="25">
        <f>OpEx_CapEx!D9</f>
        <v/>
      </c>
      <c r="E8" s="25">
        <f>OpEx_CapEx!E9</f>
        <v/>
      </c>
      <c r="F8" s="25">
        <f>OpEx_CapEx!F9</f>
        <v/>
      </c>
      <c r="G8" s="25">
        <f>OpEx_CapEx!G9</f>
        <v/>
      </c>
      <c r="H8" s="25">
        <f>OpEx_CapEx!H9</f>
        <v/>
      </c>
      <c r="I8" s="25">
        <f>OpEx_CapEx!I9</f>
        <v/>
      </c>
      <c r="J8" s="25">
        <f>OpEx_CapEx!J9</f>
        <v/>
      </c>
      <c r="K8" s="25">
        <f>OpEx_CapEx!K9</f>
        <v/>
      </c>
      <c r="L8" s="25">
        <f>OpEx_CapEx!L9</f>
        <v/>
      </c>
      <c r="M8" s="25">
        <f>OpEx_CapEx!M9</f>
        <v/>
      </c>
      <c r="N8" s="25">
        <f>OpEx_CapEx!N9</f>
        <v/>
      </c>
    </row>
    <row r="9" ht="15" customHeight="1">
      <c r="B9" s="10" t="inlineStr">
        <is>
          <t>Corporate costs</t>
        </is>
      </c>
      <c r="D9" s="25">
        <f>OpEx_CapEx!D17</f>
        <v/>
      </c>
      <c r="E9" s="25">
        <f>OpEx_CapEx!E17</f>
        <v/>
      </c>
      <c r="F9" s="25">
        <f>OpEx_CapEx!F17</f>
        <v/>
      </c>
      <c r="G9" s="25">
        <f>OpEx_CapEx!G17</f>
        <v/>
      </c>
      <c r="H9" s="25">
        <f>OpEx_CapEx!H17</f>
        <v/>
      </c>
      <c r="I9" s="25">
        <f>OpEx_CapEx!I17</f>
        <v/>
      </c>
      <c r="J9" s="25">
        <f>OpEx_CapEx!J17</f>
        <v/>
      </c>
      <c r="K9" s="25">
        <f>OpEx_CapEx!K17</f>
        <v/>
      </c>
      <c r="L9" s="25">
        <f>OpEx_CapEx!L17</f>
        <v/>
      </c>
      <c r="M9" s="25">
        <f>OpEx_CapEx!M17</f>
        <v/>
      </c>
      <c r="N9" s="25">
        <f>OpEx_CapEx!N17</f>
        <v/>
      </c>
    </row>
    <row r="10" ht="15" customHeight="1">
      <c r="B10" s="10" t="inlineStr">
        <is>
          <t>EBITDA</t>
        </is>
      </c>
      <c r="D10" s="25">
        <f>OpEx_CapEx!D18</f>
        <v/>
      </c>
      <c r="E10" s="25">
        <f>OpEx_CapEx!E18</f>
        <v/>
      </c>
      <c r="F10" s="25">
        <f>OpEx_CapEx!F18</f>
        <v/>
      </c>
      <c r="G10" s="25">
        <f>OpEx_CapEx!G18</f>
        <v/>
      </c>
      <c r="H10" s="25">
        <f>OpEx_CapEx!H18</f>
        <v/>
      </c>
      <c r="I10" s="25">
        <f>OpEx_CapEx!I18</f>
        <v/>
      </c>
      <c r="J10" s="25">
        <f>OpEx_CapEx!J18</f>
        <v/>
      </c>
      <c r="K10" s="25">
        <f>OpEx_CapEx!K18</f>
        <v/>
      </c>
      <c r="L10" s="25">
        <f>OpEx_CapEx!L18</f>
        <v/>
      </c>
      <c r="M10" s="25">
        <f>OpEx_CapEx!M18</f>
        <v/>
      </c>
      <c r="N10" s="25">
        <f>OpEx_CapEx!N18</f>
        <v/>
      </c>
    </row>
    <row r="11" ht="15" customHeight="1">
      <c r="B11" s="10" t="inlineStr">
        <is>
          <t>CapEx (maintenance + refurb)</t>
        </is>
      </c>
      <c r="D11" s="25">
        <f>OpEx_CapEx!D23</f>
        <v/>
      </c>
      <c r="E11" s="25">
        <f>OpEx_CapEx!E23</f>
        <v/>
      </c>
      <c r="F11" s="25">
        <f>OpEx_CapEx!F23</f>
        <v/>
      </c>
      <c r="G11" s="25">
        <f>OpEx_CapEx!G23</f>
        <v/>
      </c>
      <c r="H11" s="25">
        <f>OpEx_CapEx!H23</f>
        <v/>
      </c>
      <c r="I11" s="25">
        <f>OpEx_CapEx!I23</f>
        <v/>
      </c>
      <c r="J11" s="25">
        <f>OpEx_CapEx!J23</f>
        <v/>
      </c>
      <c r="K11" s="25">
        <f>OpEx_CapEx!K23</f>
        <v/>
      </c>
      <c r="L11" s="25">
        <f>OpEx_CapEx!L23</f>
        <v/>
      </c>
      <c r="M11" s="25">
        <f>OpEx_CapEx!M23</f>
        <v/>
      </c>
      <c r="N11" s="25">
        <f>OpEx_CapEx!N23</f>
        <v/>
      </c>
    </row>
    <row r="12" ht="15" customHeight="1">
      <c r="B12" s="10" t="inlineStr">
        <is>
          <t>Acquisition outflow (Y0)</t>
        </is>
      </c>
      <c r="D12" s="25">
        <f>-Assumptions!$D$16</f>
        <v/>
      </c>
      <c r="E12" s="25" t="n">
        <v>0</v>
      </c>
      <c r="F12" s="25" t="n">
        <v>0</v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  <c r="L12" s="25" t="n">
        <v>0</v>
      </c>
      <c r="M12" s="25" t="n">
        <v>0</v>
      </c>
      <c r="N12" s="25" t="n">
        <v>0</v>
      </c>
    </row>
    <row r="13" ht="15" customHeight="1">
      <c r="B13" s="10" t="inlineStr">
        <is>
          <t>Exit value net of disposal costs (Y_exit)</t>
        </is>
      </c>
      <c r="D13" s="25">
        <f>IF(0=Assumptions!$D$7,DCF!D10,0)</f>
        <v/>
      </c>
      <c r="E13" s="25">
        <f>IF(1=Assumptions!$D$7,DCF!E10,0)</f>
        <v/>
      </c>
      <c r="F13" s="25">
        <f>IF(2=Assumptions!$D$7,DCF!F10,0)</f>
        <v/>
      </c>
      <c r="G13" s="25">
        <f>IF(3=Assumptions!$D$7,DCF!G10,0)</f>
        <v/>
      </c>
      <c r="H13" s="25">
        <f>IF(4=Assumptions!$D$7,DCF!H10,0)</f>
        <v/>
      </c>
      <c r="I13" s="25">
        <f>IF(5=Assumptions!$D$7,DCF!I10,0)</f>
        <v/>
      </c>
      <c r="J13" s="25">
        <f>IF(6=Assumptions!$D$7,DCF!J10,0)</f>
        <v/>
      </c>
      <c r="K13" s="25">
        <f>IF(7=Assumptions!$D$7,DCF!K10,0)</f>
        <v/>
      </c>
      <c r="L13" s="25">
        <f>IF(8=Assumptions!$D$7,DCF!L10,0)</f>
        <v/>
      </c>
      <c r="M13" s="25">
        <f>IF(9=Assumptions!$D$7,DCF!M10,0)</f>
        <v/>
      </c>
      <c r="N13" s="25">
        <f>IF(10=Assumptions!$D$7,DCF!N10,0)</f>
        <v/>
      </c>
    </row>
    <row r="14" ht="15" customHeight="1">
      <c r="B14" s="10" t="inlineStr">
        <is>
          <t>Disposal tax (Y_exit)</t>
        </is>
      </c>
      <c r="D14" s="25">
        <f>Tax!D13</f>
        <v/>
      </c>
      <c r="E14" s="25">
        <f>Tax!E13</f>
        <v/>
      </c>
      <c r="F14" s="25">
        <f>Tax!F13</f>
        <v/>
      </c>
      <c r="G14" s="25">
        <f>Tax!G13</f>
        <v/>
      </c>
      <c r="H14" s="25">
        <f>Tax!H13</f>
        <v/>
      </c>
      <c r="I14" s="25">
        <f>Tax!I13</f>
        <v/>
      </c>
      <c r="J14" s="25">
        <f>Tax!J13</f>
        <v/>
      </c>
      <c r="K14" s="25">
        <f>Tax!K13</f>
        <v/>
      </c>
      <c r="L14" s="25">
        <f>Tax!L13</f>
        <v/>
      </c>
      <c r="M14" s="25">
        <f>Tax!M13</f>
        <v/>
      </c>
      <c r="N14" s="25">
        <f>Tax!N13</f>
        <v/>
      </c>
    </row>
    <row r="15" ht="15" customHeight="1">
      <c r="B15" s="26" t="inlineStr">
        <is>
          <t>PROJECT FREE CASH FLOW (unlevered)</t>
        </is>
      </c>
      <c r="D15" s="27">
        <f>D10+D11+D12+D13+D14</f>
        <v/>
      </c>
      <c r="E15" s="27">
        <f>E10+E11+E12+E13+E14</f>
        <v/>
      </c>
      <c r="F15" s="27">
        <f>F10+F11+F12+F13+F14</f>
        <v/>
      </c>
      <c r="G15" s="27">
        <f>G10+G11+G12+G13+G14</f>
        <v/>
      </c>
      <c r="H15" s="27">
        <f>H10+H11+H12+H13+H14</f>
        <v/>
      </c>
      <c r="I15" s="27">
        <f>I10+I11+I12+I13+I14</f>
        <v/>
      </c>
      <c r="J15" s="27">
        <f>J10+J11+J12+J13+J14</f>
        <v/>
      </c>
      <c r="K15" s="27">
        <f>K10+K11+K12+K13+K14</f>
        <v/>
      </c>
      <c r="L15" s="27">
        <f>L10+L11+L12+L13+L14</f>
        <v/>
      </c>
      <c r="M15" s="27">
        <f>M10+M11+M12+M13+M14</f>
        <v/>
      </c>
      <c r="N15" s="27">
        <f>N10+N11+N12+N13+N14</f>
        <v/>
      </c>
    </row>
    <row r="17" ht="15" customHeight="1">
      <c r="B17" s="2" t="inlineStr">
        <is>
          <t>EQUITY (LEVERED) CASH FLOW</t>
        </is>
      </c>
    </row>
    <row r="18" ht="15" customHeight="1">
      <c r="B18" s="10" t="inlineStr">
        <is>
          <t>Project FCF</t>
        </is>
      </c>
      <c r="D18" s="25">
        <f>D15</f>
        <v/>
      </c>
      <c r="E18" s="25">
        <f>E15</f>
        <v/>
      </c>
      <c r="F18" s="25">
        <f>F15</f>
        <v/>
      </c>
      <c r="G18" s="25">
        <f>G15</f>
        <v/>
      </c>
      <c r="H18" s="25">
        <f>H15</f>
        <v/>
      </c>
      <c r="I18" s="25">
        <f>I15</f>
        <v/>
      </c>
      <c r="J18" s="25">
        <f>J15</f>
        <v/>
      </c>
      <c r="K18" s="25">
        <f>K15</f>
        <v/>
      </c>
      <c r="L18" s="25">
        <f>L15</f>
        <v/>
      </c>
      <c r="M18" s="25">
        <f>M15</f>
        <v/>
      </c>
      <c r="N18" s="25">
        <f>N15</f>
        <v/>
      </c>
    </row>
    <row r="19" ht="15" customHeight="1">
      <c r="B19" s="10" t="inlineStr">
        <is>
          <t>Debt drawdown</t>
        </is>
      </c>
      <c r="D19" s="25">
        <f>Debt!D6</f>
        <v/>
      </c>
      <c r="E19" s="25">
        <f>Debt!E6</f>
        <v/>
      </c>
      <c r="F19" s="25">
        <f>Debt!F6</f>
        <v/>
      </c>
      <c r="G19" s="25">
        <f>Debt!G6</f>
        <v/>
      </c>
      <c r="H19" s="25">
        <f>Debt!H6</f>
        <v/>
      </c>
      <c r="I19" s="25">
        <f>Debt!I6</f>
        <v/>
      </c>
      <c r="J19" s="25">
        <f>Debt!J6</f>
        <v/>
      </c>
      <c r="K19" s="25">
        <f>Debt!K6</f>
        <v/>
      </c>
      <c r="L19" s="25">
        <f>Debt!L6</f>
        <v/>
      </c>
      <c r="M19" s="25">
        <f>Debt!M6</f>
        <v/>
      </c>
      <c r="N19" s="25">
        <f>Debt!N6</f>
        <v/>
      </c>
    </row>
    <row r="20" ht="15" customHeight="1">
      <c r="B20" s="10" t="inlineStr">
        <is>
          <t>Arrangement fee</t>
        </is>
      </c>
      <c r="D20" s="25">
        <f>Debt!D11</f>
        <v/>
      </c>
      <c r="E20" s="25">
        <f>Debt!E11</f>
        <v/>
      </c>
      <c r="F20" s="25">
        <f>Debt!F11</f>
        <v/>
      </c>
      <c r="G20" s="25">
        <f>Debt!G11</f>
        <v/>
      </c>
      <c r="H20" s="25">
        <f>Debt!H11</f>
        <v/>
      </c>
      <c r="I20" s="25">
        <f>Debt!I11</f>
        <v/>
      </c>
      <c r="J20" s="25">
        <f>Debt!J11</f>
        <v/>
      </c>
      <c r="K20" s="25">
        <f>Debt!K11</f>
        <v/>
      </c>
      <c r="L20" s="25">
        <f>Debt!L11</f>
        <v/>
      </c>
      <c r="M20" s="25">
        <f>Debt!M11</f>
        <v/>
      </c>
      <c r="N20" s="25">
        <f>Debt!N11</f>
        <v/>
      </c>
    </row>
    <row r="21" ht="15" customHeight="1">
      <c r="B21" s="10" t="inlineStr">
        <is>
          <t>Interest expense</t>
        </is>
      </c>
      <c r="D21" s="25">
        <f>Debt!D10</f>
        <v/>
      </c>
      <c r="E21" s="25">
        <f>Debt!E10</f>
        <v/>
      </c>
      <c r="F21" s="25">
        <f>Debt!F10</f>
        <v/>
      </c>
      <c r="G21" s="25">
        <f>Debt!G10</f>
        <v/>
      </c>
      <c r="H21" s="25">
        <f>Debt!H10</f>
        <v/>
      </c>
      <c r="I21" s="25">
        <f>Debt!I10</f>
        <v/>
      </c>
      <c r="J21" s="25">
        <f>Debt!J10</f>
        <v/>
      </c>
      <c r="K21" s="25">
        <f>Debt!K10</f>
        <v/>
      </c>
      <c r="L21" s="25">
        <f>Debt!L10</f>
        <v/>
      </c>
      <c r="M21" s="25">
        <f>Debt!M10</f>
        <v/>
      </c>
      <c r="N21" s="25">
        <f>Debt!N10</f>
        <v/>
      </c>
    </row>
    <row r="22" ht="15" customHeight="1">
      <c r="B22" s="10" t="inlineStr">
        <is>
          <t>Scheduled principal</t>
        </is>
      </c>
      <c r="D22" s="25">
        <f>Debt!D7</f>
        <v/>
      </c>
      <c r="E22" s="25">
        <f>Debt!E7</f>
        <v/>
      </c>
      <c r="F22" s="25">
        <f>Debt!F7</f>
        <v/>
      </c>
      <c r="G22" s="25">
        <f>Debt!G7</f>
        <v/>
      </c>
      <c r="H22" s="25">
        <f>Debt!H7</f>
        <v/>
      </c>
      <c r="I22" s="25">
        <f>Debt!I7</f>
        <v/>
      </c>
      <c r="J22" s="25">
        <f>Debt!J7</f>
        <v/>
      </c>
      <c r="K22" s="25">
        <f>Debt!K7</f>
        <v/>
      </c>
      <c r="L22" s="25">
        <f>Debt!L7</f>
        <v/>
      </c>
      <c r="M22" s="25">
        <f>Debt!M7</f>
        <v/>
      </c>
      <c r="N22" s="25">
        <f>Debt!N7</f>
        <v/>
      </c>
    </row>
    <row r="23" ht="15" customHeight="1">
      <c r="B23" s="10" t="inlineStr">
        <is>
          <t>Bullet repayment at exit</t>
        </is>
      </c>
      <c r="D23" s="25">
        <f>Debt!D8</f>
        <v/>
      </c>
      <c r="E23" s="25">
        <f>Debt!E8</f>
        <v/>
      </c>
      <c r="F23" s="25">
        <f>Debt!F8</f>
        <v/>
      </c>
      <c r="G23" s="25">
        <f>Debt!G8</f>
        <v/>
      </c>
      <c r="H23" s="25">
        <f>Debt!H8</f>
        <v/>
      </c>
      <c r="I23" s="25">
        <f>Debt!I8</f>
        <v/>
      </c>
      <c r="J23" s="25">
        <f>Debt!J8</f>
        <v/>
      </c>
      <c r="K23" s="25">
        <f>Debt!K8</f>
        <v/>
      </c>
      <c r="L23" s="25">
        <f>Debt!L8</f>
        <v/>
      </c>
      <c r="M23" s="25">
        <f>Debt!M8</f>
        <v/>
      </c>
      <c r="N23" s="25">
        <f>Debt!N8</f>
        <v/>
      </c>
    </row>
    <row r="24" ht="15" customHeight="1">
      <c r="B24" s="10" t="inlineStr">
        <is>
          <t>Income taxes (zakat + corp + WHT)</t>
        </is>
      </c>
      <c r="D24" s="25">
        <f>Tax!D12</f>
        <v/>
      </c>
      <c r="E24" s="25">
        <f>Tax!E12</f>
        <v/>
      </c>
      <c r="F24" s="25">
        <f>Tax!F12</f>
        <v/>
      </c>
      <c r="G24" s="25">
        <f>Tax!G12</f>
        <v/>
      </c>
      <c r="H24" s="25">
        <f>Tax!H12</f>
        <v/>
      </c>
      <c r="I24" s="25">
        <f>Tax!I12</f>
        <v/>
      </c>
      <c r="J24" s="25">
        <f>Tax!J12</f>
        <v/>
      </c>
      <c r="K24" s="25">
        <f>Tax!K12</f>
        <v/>
      </c>
      <c r="L24" s="25">
        <f>Tax!L12</f>
        <v/>
      </c>
      <c r="M24" s="25">
        <f>Tax!M12</f>
        <v/>
      </c>
      <c r="N24" s="25">
        <f>Tax!N12</f>
        <v/>
      </c>
    </row>
    <row r="25" ht="15" customHeight="1">
      <c r="B25" s="26" t="inlineStr">
        <is>
          <t>EQUITY FREE CASH FLOW</t>
        </is>
      </c>
      <c r="D25" s="27">
        <f>D18+D19+D20+D21+D22+D23+D24+Refinance!D29</f>
        <v/>
      </c>
      <c r="E25" s="27">
        <f>E18+E19+E20+E21+E22+E23+E24+Refinance!E29</f>
        <v/>
      </c>
      <c r="F25" s="27">
        <f>F18+F19+F20+F21+F22+F23+F24+Refinance!F29</f>
        <v/>
      </c>
      <c r="G25" s="27">
        <f>G18+G19+G20+G21+G22+G23+G24+Refinance!G29</f>
        <v/>
      </c>
      <c r="H25" s="27">
        <f>H18+H19+H20+H21+H22+H23+H24+Refinance!H29</f>
        <v/>
      </c>
      <c r="I25" s="27">
        <f>I18+I19+I20+I21+I22+I23+I24+Refinance!I29</f>
        <v/>
      </c>
      <c r="J25" s="27">
        <f>J18+J19+J20+J21+J22+J23+J24+Refinance!J29</f>
        <v/>
      </c>
      <c r="K25" s="27">
        <f>K18+K19+K20+K21+K22+K23+K24+Refinance!K29</f>
        <v/>
      </c>
      <c r="L25" s="27">
        <f>L18+L19+L20+L21+L22+L23+L24+Refinance!L29</f>
        <v/>
      </c>
      <c r="M25" s="27">
        <f>M18+M19+M20+M21+M22+M23+M24+Refinance!M29</f>
        <v/>
      </c>
      <c r="N25" s="27">
        <f>N18+N19+N20+N21+N22+N23+N24+Refinance!N29</f>
        <v/>
      </c>
    </row>
    <row r="26" ht="15" customHeight="1">
      <c r="B26" s="10" t="inlineStr">
        <is>
          <t xml:space="preserve">  Cumulative equity FCF</t>
        </is>
      </c>
      <c r="D26" s="25">
        <f>D25</f>
        <v/>
      </c>
      <c r="E26" s="25">
        <f>D26+E25</f>
        <v/>
      </c>
      <c r="F26" s="25">
        <f>E26+F25</f>
        <v/>
      </c>
      <c r="G26" s="25">
        <f>F26+G25</f>
        <v/>
      </c>
      <c r="H26" s="25">
        <f>G26+H25</f>
        <v/>
      </c>
      <c r="I26" s="25">
        <f>H26+I25</f>
        <v/>
      </c>
      <c r="J26" s="25">
        <f>I26+J25</f>
        <v/>
      </c>
      <c r="K26" s="25">
        <f>J26+K25</f>
        <v/>
      </c>
      <c r="L26" s="25">
        <f>K26+L25</f>
        <v/>
      </c>
      <c r="M26" s="25">
        <f>L26+M25</f>
        <v/>
      </c>
      <c r="N26" s="25">
        <f>M26+N25</f>
        <v/>
      </c>
    </row>
    <row r="27">
      <c r="B27" s="106" t="inlineStr">
        <is>
          <t xml:space="preserve">  o/w refi cash (memo)</t>
        </is>
      </c>
      <c r="D27" s="127">
        <f>Refinance!D29</f>
        <v/>
      </c>
      <c r="E27" s="127">
        <f>Refinance!E29</f>
        <v/>
      </c>
      <c r="F27" s="127">
        <f>Refinance!F29</f>
        <v/>
      </c>
      <c r="G27" s="127">
        <f>Refinance!G29</f>
        <v/>
      </c>
      <c r="H27" s="127">
        <f>Refinance!H29</f>
        <v/>
      </c>
      <c r="I27" s="127">
        <f>Refinance!I29</f>
        <v/>
      </c>
      <c r="J27" s="127">
        <f>Refinance!J29</f>
        <v/>
      </c>
      <c r="K27" s="127">
        <f>Refinance!K29</f>
        <v/>
      </c>
      <c r="L27" s="127">
        <f>Refinance!L29</f>
        <v/>
      </c>
      <c r="M27" s="127">
        <f>Refinance!M29</f>
        <v/>
      </c>
      <c r="N27" s="127">
        <f>Refinance!N29</f>
        <v/>
      </c>
    </row>
  </sheetData>
  <mergeCells count="3">
    <mergeCell ref="B5:N5"/>
    <mergeCell ref="B2:N2"/>
    <mergeCell ref="B17:N17"/>
  </mergeCell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N25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40" customWidth="1" min="2" max="2"/>
    <col width="2" customWidth="1" min="3" max="3"/>
    <col width="13" customWidth="1" min="4" max="14"/>
  </cols>
  <sheetData>
    <row r="2" ht="27.75" customHeight="1">
      <c r="B2" s="3" t="inlineStr">
        <is>
          <t>DCF VALUATION (Unlevered) — Exit-Cap method, no double-count</t>
        </is>
      </c>
    </row>
    <row r="3" ht="15" customHeight="1">
      <c r="B3" s="9" t="inlineStr">
        <is>
          <t>Period</t>
        </is>
      </c>
      <c r="D3" s="22" t="n">
        <v>0</v>
      </c>
      <c r="E3" s="22" t="n">
        <v>1</v>
      </c>
      <c r="F3" s="22" t="n">
        <v>2</v>
      </c>
      <c r="G3" s="22" t="n">
        <v>3</v>
      </c>
      <c r="H3" s="22" t="n">
        <v>4</v>
      </c>
      <c r="I3" s="22" t="n">
        <v>5</v>
      </c>
      <c r="J3" s="22" t="n">
        <v>6</v>
      </c>
      <c r="K3" s="22" t="n">
        <v>7</v>
      </c>
      <c r="L3" s="22" t="n">
        <v>8</v>
      </c>
      <c r="M3" s="22" t="n">
        <v>9</v>
      </c>
      <c r="N3" s="22" t="n">
        <v>10</v>
      </c>
    </row>
    <row r="4" ht="15" customHeight="1">
      <c r="B4" s="9" t="inlineStr">
        <is>
          <t>Year</t>
        </is>
      </c>
      <c r="D4" s="22">
        <f>Assumptions!$D$6+0</f>
        <v/>
      </c>
      <c r="E4" s="22">
        <f>Assumptions!$D$6+1</f>
        <v/>
      </c>
      <c r="F4" s="22">
        <f>Assumptions!$D$6+2</f>
        <v/>
      </c>
      <c r="G4" s="22">
        <f>Assumptions!$D$6+3</f>
        <v/>
      </c>
      <c r="H4" s="22">
        <f>Assumptions!$D$6+4</f>
        <v/>
      </c>
      <c r="I4" s="22">
        <f>Assumptions!$D$6+5</f>
        <v/>
      </c>
      <c r="J4" s="22">
        <f>Assumptions!$D$6+6</f>
        <v/>
      </c>
      <c r="K4" s="22">
        <f>Assumptions!$D$6+7</f>
        <v/>
      </c>
      <c r="L4" s="22">
        <f>Assumptions!$D$6+8</f>
        <v/>
      </c>
      <c r="M4" s="22">
        <f>Assumptions!$D$6+9</f>
        <v/>
      </c>
      <c r="N4" s="22">
        <f>Assumptions!$D$6+10</f>
        <v/>
      </c>
    </row>
    <row r="5" ht="15" customHeight="1">
      <c r="B5" s="2" t="inlineStr">
        <is>
          <t>EXIT VALUE BUILD (forward NOI method)</t>
        </is>
      </c>
    </row>
    <row r="6" ht="15" customHeight="1">
      <c r="B6" s="10" t="inlineStr">
        <is>
          <t>Forward NOI (Y+1 of exit year)</t>
        </is>
      </c>
      <c r="D6" s="25">
        <f>IF(0=Assumptions!$D$7,OpEx_CapEx!D9*(1+Assumptions!$D$20/Assumptions!$D$21),0)</f>
        <v/>
      </c>
      <c r="E6" s="25">
        <f>IF(1=Assumptions!$D$7,OpEx_CapEx!E9*(1+Assumptions!$D$20/Assumptions!$D$21),0)</f>
        <v/>
      </c>
      <c r="F6" s="25">
        <f>IF(2=Assumptions!$D$7,OpEx_CapEx!F9*(1+Assumptions!$D$20/Assumptions!$D$21),0)</f>
        <v/>
      </c>
      <c r="G6" s="25">
        <f>IF(3=Assumptions!$D$7,OpEx_CapEx!G9*(1+Assumptions!$D$20/Assumptions!$D$21),0)</f>
        <v/>
      </c>
      <c r="H6" s="25">
        <f>IF(4=Assumptions!$D$7,OpEx_CapEx!H9*(1+Assumptions!$D$20/Assumptions!$D$21),0)</f>
        <v/>
      </c>
      <c r="I6" s="25">
        <f>IF(5=Assumptions!$D$7,OpEx_CapEx!I9*(1+Assumptions!$D$20/Assumptions!$D$21),0)</f>
        <v/>
      </c>
      <c r="J6" s="25">
        <f>IF(6=Assumptions!$D$7,OpEx_CapEx!J9*(1+Assumptions!$D$20/Assumptions!$D$21),0)</f>
        <v/>
      </c>
      <c r="K6" s="25">
        <f>IF(7=Assumptions!$D$7,OpEx_CapEx!K9*(1+Assumptions!$D$20/Assumptions!$D$21),0)</f>
        <v/>
      </c>
      <c r="L6" s="25">
        <f>IF(8=Assumptions!$D$7,OpEx_CapEx!L9*(1+Assumptions!$D$20/Assumptions!$D$21),0)</f>
        <v/>
      </c>
      <c r="M6" s="25">
        <f>IF(9=Assumptions!$D$7,OpEx_CapEx!M9*(1+Assumptions!$D$20/Assumptions!$D$21),0)</f>
        <v/>
      </c>
      <c r="N6" s="25">
        <f>IF(10=Assumptions!$D$7,OpEx_CapEx!N9*(1+Assumptions!$D$20/Assumptions!$D$21),0)</f>
        <v/>
      </c>
    </row>
    <row r="7" ht="15" customHeight="1">
      <c r="B7" s="10" t="inlineStr">
        <is>
          <t>Exit cap rate</t>
        </is>
      </c>
      <c r="D7" s="29">
        <f>IF(0=Assumptions!$D$7,Assumptions!$D$51,0)</f>
        <v/>
      </c>
      <c r="E7" s="29">
        <f>IF(1=Assumptions!$D$7,Assumptions!$D$51,0)</f>
        <v/>
      </c>
      <c r="F7" s="29">
        <f>IF(2=Assumptions!$D$7,Assumptions!$D$51,0)</f>
        <v/>
      </c>
      <c r="G7" s="29">
        <f>IF(3=Assumptions!$D$7,Assumptions!$D$51,0)</f>
        <v/>
      </c>
      <c r="H7" s="29">
        <f>IF(4=Assumptions!$D$7,Assumptions!$D$51,0)</f>
        <v/>
      </c>
      <c r="I7" s="29">
        <f>IF(5=Assumptions!$D$7,Assumptions!$D$51,0)</f>
        <v/>
      </c>
      <c r="J7" s="29">
        <f>IF(6=Assumptions!$D$7,Assumptions!$D$51,0)</f>
        <v/>
      </c>
      <c r="K7" s="29">
        <f>IF(7=Assumptions!$D$7,Assumptions!$D$51,0)</f>
        <v/>
      </c>
      <c r="L7" s="29">
        <f>IF(8=Assumptions!$D$7,Assumptions!$D$51,0)</f>
        <v/>
      </c>
      <c r="M7" s="29">
        <f>IF(9=Assumptions!$D$7,Assumptions!$D$51,0)</f>
        <v/>
      </c>
      <c r="N7" s="29">
        <f>IF(10=Assumptions!$D$7,Assumptions!$D$51,0)</f>
        <v/>
      </c>
    </row>
    <row r="8" ht="15" customHeight="1">
      <c r="B8" s="10" t="inlineStr">
        <is>
          <t>Disposal costs % (broker + legal + other)</t>
        </is>
      </c>
      <c r="D8" s="29">
        <f>IF(0=Assumptions!$D$7,Assumptions!$D$52+Assumptions!$D$53+Assumptions!$D$54,0)</f>
        <v/>
      </c>
      <c r="E8" s="29">
        <f>IF(1=Assumptions!$D$7,Assumptions!$D$52+Assumptions!$D$53+Assumptions!$D$54,0)</f>
        <v/>
      </c>
      <c r="F8" s="29">
        <f>IF(2=Assumptions!$D$7,Assumptions!$D$52+Assumptions!$D$53+Assumptions!$D$54,0)</f>
        <v/>
      </c>
      <c r="G8" s="29">
        <f>IF(3=Assumptions!$D$7,Assumptions!$D$52+Assumptions!$D$53+Assumptions!$D$54,0)</f>
        <v/>
      </c>
      <c r="H8" s="29">
        <f>IF(4=Assumptions!$D$7,Assumptions!$D$52+Assumptions!$D$53+Assumptions!$D$54,0)</f>
        <v/>
      </c>
      <c r="I8" s="29">
        <f>IF(5=Assumptions!$D$7,Assumptions!$D$52+Assumptions!$D$53+Assumptions!$D$54,0)</f>
        <v/>
      </c>
      <c r="J8" s="29">
        <f>IF(6=Assumptions!$D$7,Assumptions!$D$52+Assumptions!$D$53+Assumptions!$D$54,0)</f>
        <v/>
      </c>
      <c r="K8" s="29">
        <f>IF(7=Assumptions!$D$7,Assumptions!$D$52+Assumptions!$D$53+Assumptions!$D$54,0)</f>
        <v/>
      </c>
      <c r="L8" s="29">
        <f>IF(8=Assumptions!$D$7,Assumptions!$D$52+Assumptions!$D$53+Assumptions!$D$54,0)</f>
        <v/>
      </c>
      <c r="M8" s="29">
        <f>IF(9=Assumptions!$D$7,Assumptions!$D$52+Assumptions!$D$53+Assumptions!$D$54,0)</f>
        <v/>
      </c>
      <c r="N8" s="29">
        <f>IF(10=Assumptions!$D$7,Assumptions!$D$52+Assumptions!$D$53+Assumptions!$D$54,0)</f>
        <v/>
      </c>
    </row>
    <row r="9" ht="15" customHeight="1">
      <c r="B9" s="26" t="inlineStr">
        <is>
          <t>GROSS EXIT VALUE = Forward NOI / Exit Cap</t>
        </is>
      </c>
      <c r="D9" s="27">
        <f>IFERROR(IF(D7=0,0,D6/D7),0)</f>
        <v/>
      </c>
      <c r="E9" s="27">
        <f>IFERROR(IF(E7=0,0,E6/E7),0)</f>
        <v/>
      </c>
      <c r="F9" s="27">
        <f>IFERROR(IF(F7=0,0,F6/F7),0)</f>
        <v/>
      </c>
      <c r="G9" s="27">
        <f>IFERROR(IF(G7=0,0,G6/G7),0)</f>
        <v/>
      </c>
      <c r="H9" s="27">
        <f>IFERROR(IF(H7=0,0,H6/H7),0)</f>
        <v/>
      </c>
      <c r="I9" s="27">
        <f>IFERROR(IF(I7=0,0,I6/I7),0)</f>
        <v/>
      </c>
      <c r="J9" s="27">
        <f>IFERROR(IF(J7=0,0,J6/J7),0)</f>
        <v/>
      </c>
      <c r="K9" s="27">
        <f>IFERROR(IF(K7=0,0,K6/K7),0)</f>
        <v/>
      </c>
      <c r="L9" s="27">
        <f>IFERROR(IF(L7=0,0,L6/L7),0)</f>
        <v/>
      </c>
      <c r="M9" s="27">
        <f>IFERROR(IF(M7=0,0,M6/M7),0)</f>
        <v/>
      </c>
      <c r="N9" s="27">
        <f>IFERROR(IF(N7=0,0,N6/N7),0)</f>
        <v/>
      </c>
    </row>
    <row r="10" ht="15" customHeight="1">
      <c r="B10" s="26" t="inlineStr">
        <is>
          <t>NET EXIT VALUE (gross − disposal costs)</t>
        </is>
      </c>
      <c r="D10" s="27">
        <f>D9*(1-D8)</f>
        <v/>
      </c>
      <c r="E10" s="27">
        <f>E9*(1-E8)</f>
        <v/>
      </c>
      <c r="F10" s="27">
        <f>F9*(1-F8)</f>
        <v/>
      </c>
      <c r="G10" s="27">
        <f>G9*(1-G8)</f>
        <v/>
      </c>
      <c r="H10" s="27">
        <f>H9*(1-H8)</f>
        <v/>
      </c>
      <c r="I10" s="27">
        <f>I9*(1-I8)</f>
        <v/>
      </c>
      <c r="J10" s="27">
        <f>J9*(1-J8)</f>
        <v/>
      </c>
      <c r="K10" s="27">
        <f>K9*(1-K8)</f>
        <v/>
      </c>
      <c r="L10" s="27">
        <f>L9*(1-L8)</f>
        <v/>
      </c>
      <c r="M10" s="27">
        <f>M9*(1-M8)</f>
        <v/>
      </c>
      <c r="N10" s="27">
        <f>N9*(1-N8)</f>
        <v/>
      </c>
    </row>
    <row r="12" ht="15" customHeight="1">
      <c r="B12" s="2" t="inlineStr">
        <is>
          <t>UNLEVERED DCF — PROJECT LEVEL</t>
        </is>
      </c>
    </row>
    <row r="13" ht="15" customHeight="1">
      <c r="B13" s="10" t="inlineStr">
        <is>
          <t>Project FCF (unlevered)</t>
        </is>
      </c>
      <c r="D13" s="25">
        <f>Cash_Flow!D15</f>
        <v/>
      </c>
      <c r="E13" s="25">
        <f>Cash_Flow!E15</f>
        <v/>
      </c>
      <c r="F13" s="25">
        <f>Cash_Flow!F15</f>
        <v/>
      </c>
      <c r="G13" s="25">
        <f>Cash_Flow!G15</f>
        <v/>
      </c>
      <c r="H13" s="25">
        <f>Cash_Flow!H15</f>
        <v/>
      </c>
      <c r="I13" s="25">
        <f>Cash_Flow!I15</f>
        <v/>
      </c>
      <c r="J13" s="25">
        <f>Cash_Flow!J15</f>
        <v/>
      </c>
      <c r="K13" s="25">
        <f>Cash_Flow!K15</f>
        <v/>
      </c>
      <c r="L13" s="25">
        <f>Cash_Flow!L15</f>
        <v/>
      </c>
      <c r="M13" s="25">
        <f>Cash_Flow!M15</f>
        <v/>
      </c>
      <c r="N13" s="25">
        <f>Cash_Flow!N15</f>
        <v/>
      </c>
    </row>
    <row r="14" ht="15" customHeight="1">
      <c r="B14" s="10" t="inlineStr">
        <is>
          <t>Discount factor @ WACC</t>
        </is>
      </c>
      <c r="D14" s="33">
        <f>1/(1+Assumptions!$D$68)^0</f>
        <v/>
      </c>
      <c r="E14" s="33">
        <f>1/(1+Assumptions!$D$68)^1</f>
        <v/>
      </c>
      <c r="F14" s="33">
        <f>1/(1+Assumptions!$D$68)^2</f>
        <v/>
      </c>
      <c r="G14" s="33">
        <f>1/(1+Assumptions!$D$68)^3</f>
        <v/>
      </c>
      <c r="H14" s="33">
        <f>1/(1+Assumptions!$D$68)^4</f>
        <v/>
      </c>
      <c r="I14" s="33">
        <f>1/(1+Assumptions!$D$68)^5</f>
        <v/>
      </c>
      <c r="J14" s="33">
        <f>1/(1+Assumptions!$D$68)^6</f>
        <v/>
      </c>
      <c r="K14" s="33">
        <f>1/(1+Assumptions!$D$68)^7</f>
        <v/>
      </c>
      <c r="L14" s="33">
        <f>1/(1+Assumptions!$D$68)^8</f>
        <v/>
      </c>
      <c r="M14" s="33">
        <f>1/(1+Assumptions!$D$68)^9</f>
        <v/>
      </c>
      <c r="N14" s="33">
        <f>1/(1+Assumptions!$D$68)^10</f>
        <v/>
      </c>
    </row>
    <row r="15" ht="15" customHeight="1">
      <c r="B15" s="10" t="inlineStr">
        <is>
          <t>PV of FCF</t>
        </is>
      </c>
      <c r="D15" s="25">
        <f>D13*D14</f>
        <v/>
      </c>
      <c r="E15" s="25">
        <f>E13*E14</f>
        <v/>
      </c>
      <c r="F15" s="25">
        <f>F13*F14</f>
        <v/>
      </c>
      <c r="G15" s="25">
        <f>G13*G14</f>
        <v/>
      </c>
      <c r="H15" s="25">
        <f>H13*H14</f>
        <v/>
      </c>
      <c r="I15" s="25">
        <f>I13*I14</f>
        <v/>
      </c>
      <c r="J15" s="25">
        <f>J13*J14</f>
        <v/>
      </c>
      <c r="K15" s="25">
        <f>K13*K14</f>
        <v/>
      </c>
      <c r="L15" s="25">
        <f>L13*L14</f>
        <v/>
      </c>
      <c r="M15" s="25">
        <f>M13*M14</f>
        <v/>
      </c>
      <c r="N15" s="25">
        <f>N13*N14</f>
        <v/>
      </c>
    </row>
    <row r="17" ht="15" customHeight="1">
      <c r="B17" s="31" t="inlineStr">
        <is>
          <t>NPV (Project) = Σ PV(Project FCF)</t>
        </is>
      </c>
      <c r="D17" s="27">
        <f>SUM(D15:N15)</f>
        <v/>
      </c>
    </row>
    <row r="18" ht="15" customHeight="1">
      <c r="B18" s="10" t="inlineStr">
        <is>
          <t>Enterprise Value (EV) = NPV + Initial Outflow Reversed</t>
        </is>
      </c>
      <c r="D18" s="25">
        <f>D17-Cash_Flow!D12</f>
        <v/>
      </c>
      <c r="F18" s="10" t="inlineStr">
        <is>
          <t>Note: EV here = sum of PV future cash flows excluding acquisition.</t>
        </is>
      </c>
    </row>
    <row r="20" ht="15" customHeight="1">
      <c r="B20" s="2" t="inlineStr">
        <is>
          <t>LEVERED DCF — EQUITY LEVEL</t>
        </is>
      </c>
    </row>
    <row r="21" ht="15" customHeight="1">
      <c r="B21" s="10" t="inlineStr">
        <is>
          <t>Equity FCF (levered)</t>
        </is>
      </c>
      <c r="D21" s="25">
        <f>Cash_Flow!D25</f>
        <v/>
      </c>
      <c r="E21" s="25">
        <f>Cash_Flow!E25</f>
        <v/>
      </c>
      <c r="F21" s="25">
        <f>Cash_Flow!F25</f>
        <v/>
      </c>
      <c r="G21" s="25">
        <f>Cash_Flow!G25</f>
        <v/>
      </c>
      <c r="H21" s="25">
        <f>Cash_Flow!H25</f>
        <v/>
      </c>
      <c r="I21" s="25">
        <f>Cash_Flow!I25</f>
        <v/>
      </c>
      <c r="J21" s="25">
        <f>Cash_Flow!J25</f>
        <v/>
      </c>
      <c r="K21" s="25">
        <f>Cash_Flow!K25</f>
        <v/>
      </c>
      <c r="L21" s="25">
        <f>Cash_Flow!L25</f>
        <v/>
      </c>
      <c r="M21" s="25">
        <f>Cash_Flow!M25</f>
        <v/>
      </c>
      <c r="N21" s="25">
        <f>Cash_Flow!N25</f>
        <v/>
      </c>
    </row>
    <row r="22" ht="15" customHeight="1">
      <c r="B22" s="10" t="inlineStr">
        <is>
          <t>Discount factor @ Cost of Equity</t>
        </is>
      </c>
      <c r="D22" s="33">
        <f>1/(1+Assumptions!$D$66)^0</f>
        <v/>
      </c>
      <c r="E22" s="33">
        <f>1/(1+Assumptions!$D$66)^1</f>
        <v/>
      </c>
      <c r="F22" s="33">
        <f>1/(1+Assumptions!$D$66)^2</f>
        <v/>
      </c>
      <c r="G22" s="33">
        <f>1/(1+Assumptions!$D$66)^3</f>
        <v/>
      </c>
      <c r="H22" s="33">
        <f>1/(1+Assumptions!$D$66)^4</f>
        <v/>
      </c>
      <c r="I22" s="33">
        <f>1/(1+Assumptions!$D$66)^5</f>
        <v/>
      </c>
      <c r="J22" s="33">
        <f>1/(1+Assumptions!$D$66)^6</f>
        <v/>
      </c>
      <c r="K22" s="33">
        <f>1/(1+Assumptions!$D$66)^7</f>
        <v/>
      </c>
      <c r="L22" s="33">
        <f>1/(1+Assumptions!$D$66)^8</f>
        <v/>
      </c>
      <c r="M22" s="33">
        <f>1/(1+Assumptions!$D$66)^9</f>
        <v/>
      </c>
      <c r="N22" s="33">
        <f>1/(1+Assumptions!$D$66)^10</f>
        <v/>
      </c>
    </row>
    <row r="23" ht="15" customHeight="1">
      <c r="B23" s="10" t="inlineStr">
        <is>
          <t>PV of Equity FCF</t>
        </is>
      </c>
      <c r="D23" s="25">
        <f>D21*D22</f>
        <v/>
      </c>
      <c r="E23" s="25">
        <f>E21*E22</f>
        <v/>
      </c>
      <c r="F23" s="25">
        <f>F21*F22</f>
        <v/>
      </c>
      <c r="G23" s="25">
        <f>G21*G22</f>
        <v/>
      </c>
      <c r="H23" s="25">
        <f>H21*H22</f>
        <v/>
      </c>
      <c r="I23" s="25">
        <f>I21*I22</f>
        <v/>
      </c>
      <c r="J23" s="25">
        <f>J21*J22</f>
        <v/>
      </c>
      <c r="K23" s="25">
        <f>K21*K22</f>
        <v/>
      </c>
      <c r="L23" s="25">
        <f>L21*L22</f>
        <v/>
      </c>
      <c r="M23" s="25">
        <f>M21*M22</f>
        <v/>
      </c>
      <c r="N23" s="25">
        <f>N21*N22</f>
        <v/>
      </c>
    </row>
    <row r="25" ht="15" customHeight="1">
      <c r="B25" s="31" t="inlineStr">
        <is>
          <t>NPV (Equity) = Σ PV(Equity FCF)</t>
        </is>
      </c>
      <c r="D25" s="27">
        <f>SUM(D23:N23)</f>
        <v/>
      </c>
    </row>
  </sheetData>
  <mergeCells count="4">
    <mergeCell ref="B5:N5"/>
    <mergeCell ref="B2:N2"/>
    <mergeCell ref="B20:N20"/>
    <mergeCell ref="B12:N12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F36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42" customWidth="1" min="2" max="2"/>
    <col width="4" customWidth="1" min="3" max="3"/>
    <col width="20" customWidth="1" min="4" max="5"/>
    <col width="50" customWidth="1" min="6" max="6"/>
  </cols>
  <sheetData>
    <row r="2" ht="27.75" customHeight="1">
      <c r="B2" s="3" t="inlineStr">
        <is>
          <t>RETURN METRICS</t>
        </is>
      </c>
    </row>
    <row r="4" ht="15" customHeight="1">
      <c r="B4" s="2" t="inlineStr">
        <is>
          <t>PROFITABILITY</t>
        </is>
      </c>
    </row>
    <row r="5" ht="15" customHeight="1">
      <c r="B5" s="10" t="inlineStr">
        <is>
          <t>Project IRR (unlevered)</t>
        </is>
      </c>
      <c r="D5" s="34">
        <f>IFERROR(IRR(Cash_Flow!D15:N15),0)</f>
        <v/>
      </c>
    </row>
    <row r="6" ht="15" customHeight="1">
      <c r="B6" s="10" t="inlineStr">
        <is>
          <t>Equity IRR (levered, post-tax)</t>
        </is>
      </c>
      <c r="D6" s="34">
        <f>IFERROR(IRR(Cash_Flow!D25:N25),0)</f>
        <v/>
      </c>
    </row>
    <row r="7" ht="15" customHeight="1">
      <c r="B7" s="10" t="inlineStr">
        <is>
          <t>WACC (hurdle for project)</t>
        </is>
      </c>
      <c r="D7" s="34">
        <f>Assumptions!$D$68</f>
        <v/>
      </c>
    </row>
    <row r="8" ht="15" customHeight="1">
      <c r="B8" s="10" t="inlineStr">
        <is>
          <t>Hurdle rate (equity)</t>
        </is>
      </c>
      <c r="D8" s="34">
        <f>Assumptions!$D$71</f>
        <v/>
      </c>
    </row>
    <row r="9" ht="15" customHeight="1">
      <c r="B9" s="10" t="inlineStr">
        <is>
          <t>Project IRR vs WACC (gap)</t>
        </is>
      </c>
      <c r="D9" s="34">
        <f>D5-D7</f>
        <v/>
      </c>
    </row>
    <row r="10" ht="15" customHeight="1">
      <c r="B10" s="10" t="inlineStr">
        <is>
          <t>Equity IRR vs Hurdle (gap)</t>
        </is>
      </c>
      <c r="D10" s="34">
        <f>D6-D8</f>
        <v/>
      </c>
    </row>
    <row r="11" ht="15" customHeight="1">
      <c r="B11" s="10" t="inlineStr">
        <is>
          <t>NPV @ WACC (Project)</t>
        </is>
      </c>
      <c r="D11" s="32">
        <f>DCF!D17</f>
        <v/>
      </c>
    </row>
    <row r="12" ht="15" customHeight="1">
      <c r="B12" s="10" t="inlineStr">
        <is>
          <t>NPV @ Ke (Equity)</t>
        </is>
      </c>
      <c r="D12" s="32">
        <f>DCF!D25</f>
        <v/>
      </c>
    </row>
    <row r="14" ht="15" customHeight="1">
      <c r="B14" s="2" t="inlineStr">
        <is>
          <t>EQUITY MULTIPLES &amp; PAYBACK</t>
        </is>
      </c>
    </row>
    <row r="15" ht="15" customHeight="1">
      <c r="B15" s="10" t="inlineStr">
        <is>
          <t>Initial equity invested (Y0 only)</t>
        </is>
      </c>
      <c r="D15" s="32">
        <f>ABS(Cash_Flow!D25)</f>
        <v/>
      </c>
    </row>
    <row r="16" ht="15" customHeight="1">
      <c r="B16" s="10" t="inlineStr">
        <is>
          <t>Sum of all positive equity distributions (Y0 excluded)</t>
        </is>
      </c>
      <c r="D16" s="32">
        <f>SUMIF(Cash_Flow!D25:N25,"&gt;0")</f>
        <v/>
      </c>
    </row>
    <row r="17" ht="15" customHeight="1">
      <c r="B17" s="31" t="inlineStr">
        <is>
          <t>Distributions MOIC (positive CFs / initial equity)</t>
        </is>
      </c>
      <c r="D17" s="35">
        <f>IFERROR(D16/D15,0)</f>
        <v/>
      </c>
    </row>
    <row r="18" ht="15" customHeight="1">
      <c r="B18" s="10" t="inlineStr">
        <is>
          <t>MOIC target</t>
        </is>
      </c>
      <c r="D18" s="36">
        <f>Assumptions!$D$72</f>
        <v/>
      </c>
    </row>
    <row r="19" ht="15" customHeight="1">
      <c r="B19" s="10" t="inlineStr">
        <is>
          <t>Payback period (years until cumul. equity FCF ≥ 0)</t>
        </is>
      </c>
      <c r="D19" s="37">
        <f>IFERROR(MATCH(TRUE(),INDEX(Cash_Flow!E26:N26&gt;=0,0),0),"Beyond exit")</f>
        <v/>
      </c>
    </row>
    <row r="21" ht="15" customHeight="1">
      <c r="B21" s="2" t="inlineStr">
        <is>
          <t>CURRENT-YEAR METRICS (Year 1)</t>
        </is>
      </c>
    </row>
    <row r="22" ht="15" customHeight="1">
      <c r="B22" s="10" t="inlineStr">
        <is>
          <t>Cash-on-Cash (Y1 equity FCF ex arrangement fee / equity)</t>
        </is>
      </c>
      <c r="D22" s="34">
        <f>IFERROR((Cash_Flow!E25-Debt!E11)/Assumptions!$D$48,0)</f>
        <v/>
      </c>
    </row>
    <row r="23" ht="15" customHeight="1">
      <c r="B23" s="10" t="inlineStr">
        <is>
          <t>Yield on cost (Y1 NOI / Total Cost)</t>
        </is>
      </c>
      <c r="D23" s="34">
        <f>IFERROR(OpEx_CapEx!E9/Assumptions!$D$16,0)</f>
        <v/>
      </c>
    </row>
    <row r="24" ht="15" customHeight="1">
      <c r="B24" s="10" t="inlineStr">
        <is>
          <t>Entry cap rate implied (Y1 NOI / Purchase price)</t>
        </is>
      </c>
      <c r="D24" s="34">
        <f>IFERROR(OpEx_CapEx!E9/Assumptions!$D$11,0)</f>
        <v/>
      </c>
    </row>
    <row r="26" ht="15" customHeight="1">
      <c r="B26" s="2" t="inlineStr">
        <is>
          <t>CREDIT METRICS</t>
        </is>
      </c>
    </row>
    <row r="27" ht="15" customHeight="1">
      <c r="B27" s="10" t="inlineStr">
        <is>
          <t>Initial LTV (Debt / Total cost)</t>
        </is>
      </c>
      <c r="D27" s="34">
        <f>Assumptions!$D$47/Assumptions!$D$16</f>
        <v/>
      </c>
    </row>
    <row r="28" ht="15" customHeight="1">
      <c r="B28" s="10" t="inlineStr">
        <is>
          <t>Min DSCR over life</t>
        </is>
      </c>
      <c r="D28" s="38">
        <f>IFERROR(MIN(Debt!E16:N16),0)</f>
        <v/>
      </c>
    </row>
    <row r="29" ht="15" customHeight="1">
      <c r="B29" s="10" t="inlineStr">
        <is>
          <t>Avg DSCR</t>
        </is>
      </c>
      <c r="D29" s="38">
        <f>IFERROR(AVERAGE(Debt!E16:M16),0)</f>
        <v/>
      </c>
    </row>
    <row r="30" ht="15" customHeight="1">
      <c r="B30" s="10" t="inlineStr">
        <is>
          <t>Avg debt yield (NOI / Debt outstanding)</t>
        </is>
      </c>
      <c r="D30" s="34">
        <f>IFERROR(AVERAGE(Debt!E18:M18),0)</f>
        <v/>
      </c>
    </row>
    <row r="31" ht="15" customHeight="1">
      <c r="B31" s="10" t="inlineStr">
        <is>
          <t>Min Interest Coverage</t>
        </is>
      </c>
      <c r="D31" s="38">
        <f>IFERROR(MIN(Debt!E15:N15),0)</f>
        <v/>
      </c>
    </row>
    <row r="33" ht="15" customHeight="1">
      <c r="B33" s="2" t="inlineStr">
        <is>
          <t>BREAK-EVEN ANALYSIS</t>
        </is>
      </c>
    </row>
    <row r="34" ht="15" customHeight="1">
      <c r="B34" s="10" t="inlineStr">
        <is>
          <t>Break-even vacancy (NOI covers debt service)</t>
        </is>
      </c>
      <c r="D34" s="34">
        <f>IFERROR(1-ABS(Debt!E12)/(Assumptions!$D$19*(1-Assumptions!$D$25-Assumptions!$D$26)),0)</f>
        <v/>
      </c>
    </row>
    <row r="35" ht="15" customHeight="1">
      <c r="B35" s="10" t="inlineStr">
        <is>
          <t>NOI cushion vs debt service (Y1)</t>
        </is>
      </c>
      <c r="D35" s="32">
        <f>OpEx_CapEx!E9-ABS(Debt!E12)</f>
        <v/>
      </c>
    </row>
    <row r="36" ht="15" customHeight="1">
      <c r="B36" t="inlineStr">
        <is>
          <t>Min DSCR excl. bullet year (Y1–Y9)</t>
        </is>
      </c>
      <c r="D36" s="39">
        <f>MIN(Debt!E16:M16)</f>
        <v/>
      </c>
    </row>
  </sheetData>
  <mergeCells count="6">
    <mergeCell ref="B4:F4"/>
    <mergeCell ref="B21:F21"/>
    <mergeCell ref="B2:F2"/>
    <mergeCell ref="B33:F33"/>
    <mergeCell ref="B14:F14"/>
    <mergeCell ref="B26:F26"/>
  </mergeCell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32" customWidth="1" min="2" max="2"/>
    <col width="5" customWidth="1" min="3" max="3"/>
    <col width="18" customWidth="1" min="4" max="7"/>
    <col width="4" customWidth="1" min="8" max="8"/>
    <col width="32" customWidth="1" min="9" max="9"/>
    <col width="22" customWidth="1" min="10" max="10"/>
  </cols>
  <sheetData>
    <row r="2" ht="27.75" customHeight="1">
      <c r="B2" s="3" t="inlineStr">
        <is>
          <t>SCENARIO ANALYSIS — Base / Downside / Severe / Upside</t>
        </is>
      </c>
    </row>
    <row r="3" ht="15" customHeight="1">
      <c r="B3" s="5" t="inlineStr">
        <is>
          <t>Scenarios shock key drivers vs base. Compare equity IRR, NPV, DSCR, MOIC.</t>
        </is>
      </c>
    </row>
    <row r="5" ht="15" customHeight="1">
      <c r="B5" s="40" t="inlineStr">
        <is>
          <t>Driver</t>
        </is>
      </c>
      <c r="C5" s="40" t="inlineStr">
        <is>
          <t>Base</t>
        </is>
      </c>
      <c r="D5" s="40" t="inlineStr">
        <is>
          <t>Downside</t>
        </is>
      </c>
      <c r="E5" s="40" t="inlineStr">
        <is>
          <t>Severe</t>
        </is>
      </c>
      <c r="F5" s="40" t="inlineStr">
        <is>
          <t>Upside</t>
        </is>
      </c>
    </row>
    <row r="6" ht="15" customHeight="1">
      <c r="B6" s="10" t="inlineStr">
        <is>
          <t>Revenue growth (Δ pp)</t>
        </is>
      </c>
      <c r="C6" s="41" t="n">
        <v>0</v>
      </c>
      <c r="D6" s="41" t="n">
        <v>-0.01</v>
      </c>
      <c r="E6" s="41" t="n">
        <v>-0.03</v>
      </c>
      <c r="F6" s="41" t="n">
        <v>0.01</v>
      </c>
    </row>
    <row r="7" ht="15" customHeight="1">
      <c r="B7" s="10" t="inlineStr">
        <is>
          <t>Y1 vacancy (Δ pp)</t>
        </is>
      </c>
      <c r="C7" s="41" t="n">
        <v>0</v>
      </c>
      <c r="D7" s="41" t="n">
        <v>0.05</v>
      </c>
      <c r="E7" s="41" t="n">
        <v>0.15</v>
      </c>
      <c r="F7" s="41" t="n">
        <v>-0.03</v>
      </c>
    </row>
    <row r="8" ht="15" customHeight="1">
      <c r="B8" s="10" t="inlineStr">
        <is>
          <t>OpEx (Δ % multiplier)</t>
        </is>
      </c>
      <c r="C8" s="41" t="n">
        <v>0</v>
      </c>
      <c r="D8" s="41" t="n">
        <v>0.1</v>
      </c>
      <c r="E8" s="41" t="n">
        <v>0.25</v>
      </c>
      <c r="F8" s="41" t="n">
        <v>-0.05</v>
      </c>
    </row>
    <row r="9" ht="15" customHeight="1">
      <c r="B9" s="10" t="inlineStr">
        <is>
          <t>Exit cap rate (Δ bps)</t>
        </is>
      </c>
      <c r="C9" s="41" t="n">
        <v>0</v>
      </c>
      <c r="D9" s="41" t="n">
        <v>50</v>
      </c>
      <c r="E9" s="41" t="n">
        <v>150</v>
      </c>
      <c r="F9" s="41" t="n">
        <v>-25</v>
      </c>
    </row>
    <row r="10" ht="15" customHeight="1">
      <c r="B10" s="10" t="inlineStr">
        <is>
          <t>Cost of debt (Δ bps)</t>
        </is>
      </c>
      <c r="C10" s="41" t="n">
        <v>0</v>
      </c>
      <c r="D10" s="41" t="n">
        <v>100</v>
      </c>
      <c r="E10" s="41" t="n">
        <v>250</v>
      </c>
      <c r="F10" s="41" t="n">
        <v>-25</v>
      </c>
    </row>
    <row r="12" ht="15" customHeight="1">
      <c r="B12" s="2" t="inlineStr">
        <is>
          <t>SCENARIO IMPACT (estimated, using single-factor shocks via Sensitivity sheet)</t>
        </is>
      </c>
    </row>
    <row r="13" ht="15" customHeight="1">
      <c r="B13" s="10" t="inlineStr">
        <is>
          <t>See Sensitivity sheet for two-way matrices on each driver.</t>
        </is>
      </c>
    </row>
    <row r="14" ht="15" customHeight="1">
      <c r="B14" s="10" t="inlineStr">
        <is>
          <t>For full multi-factor scenarios, copy the workbook, change the BLUE inputs on Assumptions, and re-read Returns.</t>
        </is>
      </c>
    </row>
    <row r="16" ht="15" customHeight="1">
      <c r="B16" s="31" t="inlineStr">
        <is>
          <t>Scenario operating instructions:</t>
        </is>
      </c>
    </row>
    <row r="17" ht="15" customHeight="1">
      <c r="B17" s="10" t="inlineStr">
        <is>
          <t>1. To run a scenario, change ONLY the blue cells on the Assumptions sheet.</t>
        </is>
      </c>
    </row>
    <row r="18" ht="15" customHeight="1">
      <c r="B18" s="10" t="inlineStr">
        <is>
          <t>2. The whole model re-flows. Read updated metrics on Returns and Dashboard.</t>
        </is>
      </c>
    </row>
    <row r="19" ht="15" customHeight="1">
      <c r="B19" s="10" t="inlineStr">
        <is>
          <t>3. To compare side-by-side, save the workbook under each scenario name (e.g. v4_Base.xlsx).</t>
        </is>
      </c>
    </row>
    <row r="20" ht="15" customHeight="1">
      <c r="B20" s="10" t="inlineStr">
        <is>
          <t>4. For automated multi-scenario tables, see the Sensitivity sheet which uses one-way shocks.</t>
        </is>
      </c>
    </row>
  </sheetData>
  <mergeCells count="2">
    <mergeCell ref="B12:J12"/>
    <mergeCell ref="B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73" t="inlineStr">
        <is>
          <t>SCENARIO ENGINE — full recalculation across cases</t>
        </is>
      </c>
    </row>
    <row r="3">
      <c r="B3" s="52" t="inlineStr">
        <is>
          <t>Each case applies stress shocks from Assumptions §14 to the base build. Computes NOI, debt service, equity IRR, NPV, MOIC, DSCR.</t>
        </is>
      </c>
    </row>
    <row r="5">
      <c r="B5" s="65" t="inlineStr">
        <is>
          <t>Metric</t>
        </is>
      </c>
      <c r="C5" s="65" t="inlineStr">
        <is>
          <t>Base</t>
        </is>
      </c>
      <c r="D5" s="65" t="inlineStr">
        <is>
          <t>Downside</t>
        </is>
      </c>
      <c r="E5" s="65" t="inlineStr">
        <is>
          <t>Severe</t>
        </is>
      </c>
      <c r="F5" s="65" t="inlineStr">
        <is>
          <t>Stress</t>
        </is>
      </c>
      <c r="G5" s="65" t="inlineStr">
        <is>
          <t>Upside</t>
        </is>
      </c>
    </row>
    <row r="6">
      <c r="B6" s="58" t="inlineStr">
        <is>
          <t>Adjusted revenue growth</t>
        </is>
      </c>
      <c r="C6" s="79">
        <f>Assumptions!$D$20+Assumptions!C98</f>
        <v/>
      </c>
      <c r="D6" s="79">
        <f>Assumptions!$D$20+Assumptions!D98</f>
        <v/>
      </c>
      <c r="E6" s="79">
        <f>Assumptions!$D$20+Assumptions!E98</f>
        <v/>
      </c>
      <c r="F6" s="79">
        <f>Assumptions!$D$20+Assumptions!F98</f>
        <v/>
      </c>
      <c r="G6" s="79">
        <f>Assumptions!$D$20+Assumptions!G98</f>
        <v/>
      </c>
    </row>
    <row r="7">
      <c r="B7" s="58" t="inlineStr">
        <is>
          <t>Adjusted vacancy</t>
        </is>
      </c>
      <c r="C7" s="79">
        <f>Assumptions!$D$22+Assumptions!C99</f>
        <v/>
      </c>
      <c r="D7" s="79">
        <f>Assumptions!$D$22+Assumptions!D99</f>
        <v/>
      </c>
      <c r="E7" s="79">
        <f>Assumptions!$D$22+Assumptions!E99</f>
        <v/>
      </c>
      <c r="F7" s="79">
        <f>Assumptions!$D$22+Assumptions!F99</f>
        <v/>
      </c>
      <c r="G7" s="79">
        <f>Assumptions!$D$22+Assumptions!G99</f>
        <v/>
      </c>
    </row>
    <row r="8">
      <c r="B8" s="58" t="inlineStr">
        <is>
          <t>OpEx multiplier</t>
        </is>
      </c>
      <c r="C8" s="39">
        <f>Assumptions!C100</f>
        <v/>
      </c>
      <c r="D8" s="39">
        <f>Assumptions!D100</f>
        <v/>
      </c>
      <c r="E8" s="39">
        <f>Assumptions!E100</f>
        <v/>
      </c>
      <c r="F8" s="39">
        <f>Assumptions!F100</f>
        <v/>
      </c>
      <c r="G8" s="39">
        <f>Assumptions!G100</f>
        <v/>
      </c>
    </row>
    <row r="9">
      <c r="B9" s="58" t="inlineStr">
        <is>
          <t>Adjusted exit cap</t>
        </is>
      </c>
      <c r="C9" s="79">
        <f>Assumptions!$D$51+Assumptions!C101/10000</f>
        <v/>
      </c>
      <c r="D9" s="79">
        <f>Assumptions!$D$51+Assumptions!D101/10000</f>
        <v/>
      </c>
      <c r="E9" s="79">
        <f>Assumptions!$D$51+Assumptions!E101/10000</f>
        <v/>
      </c>
      <c r="F9" s="79">
        <f>Assumptions!$D$51+Assumptions!F101/10000</f>
        <v/>
      </c>
      <c r="G9" s="79">
        <f>Assumptions!$D$51+Assumptions!G101/10000</f>
        <v/>
      </c>
    </row>
    <row r="10">
      <c r="B10" s="58" t="inlineStr">
        <is>
          <t>Adjusted cost of debt</t>
        </is>
      </c>
      <c r="C10" s="79">
        <f>Assumptions!$D$42+Assumptions!C102/10000</f>
        <v/>
      </c>
      <c r="D10" s="79">
        <f>Assumptions!$D$42+Assumptions!D102/10000</f>
        <v/>
      </c>
      <c r="E10" s="79">
        <f>Assumptions!$D$42+Assumptions!E102/10000</f>
        <v/>
      </c>
      <c r="F10" s="79">
        <f>Assumptions!$D$42+Assumptions!F102/10000</f>
        <v/>
      </c>
      <c r="G10" s="79">
        <f>Assumptions!$D$42+Assumptions!G102/10000</f>
        <v/>
      </c>
    </row>
    <row r="11">
      <c r="B11" s="58" t="inlineStr">
        <is>
          <t>Refi failure flag (1=fail)</t>
        </is>
      </c>
      <c r="C11" s="78">
        <f>Assumptions!C103</f>
        <v/>
      </c>
      <c r="D11" s="78">
        <f>Assumptions!D103</f>
        <v/>
      </c>
      <c r="E11" s="78">
        <f>Assumptions!E103</f>
        <v/>
      </c>
      <c r="F11" s="78">
        <f>Assumptions!F103</f>
        <v/>
      </c>
      <c r="G11" s="78">
        <f>Assumptions!G103</f>
        <v/>
      </c>
    </row>
    <row r="12">
      <c r="B12" s="58" t="inlineStr">
        <is>
          <t>Cost overrun multiplier</t>
        </is>
      </c>
      <c r="C12" s="39">
        <f>1+Assumptions!C105</f>
        <v/>
      </c>
      <c r="D12" s="39">
        <f>1+Assumptions!D105</f>
        <v/>
      </c>
      <c r="E12" s="39">
        <f>1+Assumptions!E105</f>
        <v/>
      </c>
      <c r="F12" s="39">
        <f>1+Assumptions!F105</f>
        <v/>
      </c>
      <c r="G12" s="39">
        <f>1+Assumptions!G105</f>
        <v/>
      </c>
    </row>
    <row r="13">
      <c r="B13" s="58" t="inlineStr">
        <is>
          <t>Adjusted total cost</t>
        </is>
      </c>
      <c r="C13" s="61">
        <f>Assumptions!$D$16*C12</f>
        <v/>
      </c>
      <c r="D13" s="61">
        <f>Assumptions!$D$16*D12</f>
        <v/>
      </c>
      <c r="E13" s="61">
        <f>Assumptions!$D$16*E12</f>
        <v/>
      </c>
      <c r="F13" s="61">
        <f>Assumptions!$D$16*F12</f>
        <v/>
      </c>
      <c r="G13" s="61">
        <f>Assumptions!$D$16*G12</f>
        <v/>
      </c>
    </row>
    <row r="15">
      <c r="B15" s="58" t="inlineStr">
        <is>
          <t>Y1 EGI (stressed)</t>
        </is>
      </c>
      <c r="C15" s="61">
        <f>Assumptions!$D$19*(1-C7)</f>
        <v/>
      </c>
      <c r="D15" s="61">
        <f>Assumptions!$D$19*(1-D7)</f>
        <v/>
      </c>
      <c r="E15" s="61">
        <f>Assumptions!$D$19*(1-E7)</f>
        <v/>
      </c>
      <c r="F15" s="61">
        <f>Assumptions!$D$19*(1-F7)</f>
        <v/>
      </c>
      <c r="G15" s="61">
        <f>Assumptions!$D$19*(1-G7)</f>
        <v/>
      </c>
    </row>
    <row r="16">
      <c r="B16" s="58" t="inlineStr">
        <is>
          <t>Y1 asset NOI (stressed)</t>
        </is>
      </c>
      <c r="C16" s="61">
        <f>C15*(1-Assumptions!$D$25*C8-Assumptions!$D$26)</f>
        <v/>
      </c>
      <c r="D16" s="61">
        <f>D15*(1-Assumptions!$D$25*D8-Assumptions!$D$26)</f>
        <v/>
      </c>
      <c r="E16" s="61">
        <f>E15*(1-Assumptions!$D$25*E8-Assumptions!$D$26)</f>
        <v/>
      </c>
      <c r="F16" s="61">
        <f>F15*(1-Assumptions!$D$25*F8-Assumptions!$D$26)</f>
        <v/>
      </c>
      <c r="G16" s="61">
        <f>G15*(1-Assumptions!$D$25*G8-Assumptions!$D$26)</f>
        <v/>
      </c>
    </row>
    <row r="17">
      <c r="B17" s="69" t="inlineStr">
        <is>
          <t>NPV (Project) — stressed</t>
        </is>
      </c>
      <c r="C17" s="61">
        <f>-C13+((C16*((1+C6/2)^Assumptions!$D$7+1)/2)-(C15*Assumptions!$D$36)-(Assumptions!$D$77*Assumptions!$D$57))*(1-(1+Assumptions!$D$68)^-Assumptions!$D$7)/Assumptions!$D$68+(((C16*(1+C6/2)^Assumptions!$D$7)*(1+C6)/C9*(1-0.03))/(1+Assumptions!$D$68)^Assumptions!$D$7)</f>
        <v/>
      </c>
      <c r="D17" s="61">
        <f>-D13+((D16*((1+D6/2)^Assumptions!$D$7+1)/2)-(D15*Assumptions!$D$36)-(Assumptions!$D$77*Assumptions!$D$57))*(1-(1+Assumptions!$D$68)^-Assumptions!$D$7)/Assumptions!$D$68+(((D16*(1+D6/2)^Assumptions!$D$7)*(1+D6)/D9*(1-0.03))/(1+Assumptions!$D$68)^Assumptions!$D$7)</f>
        <v/>
      </c>
      <c r="E17" s="61">
        <f>-E13+((E16*((1+E6/2)^Assumptions!$D$7+1)/2)-(E15*Assumptions!$D$36)-(Assumptions!$D$77*Assumptions!$D$57))*(1-(1+Assumptions!$D$68)^-Assumptions!$D$7)/Assumptions!$D$68+(((E16*(1+E6/2)^Assumptions!$D$7)*(1+E6)/E9*(1-0.03))/(1+Assumptions!$D$68)^Assumptions!$D$7)</f>
        <v/>
      </c>
      <c r="F17" s="61">
        <f>-F13+((F16*((1+F6/2)^Assumptions!$D$7+1)/2)-(F15*Assumptions!$D$36)-(Assumptions!$D$77*Assumptions!$D$57))*(1-(1+Assumptions!$D$68)^-Assumptions!$D$7)/Assumptions!$D$68+(((F16*(1+F6/2)^Assumptions!$D$7)*(1+F6)/F9*(1-0.03))/(1+Assumptions!$D$68)^Assumptions!$D$7)</f>
        <v/>
      </c>
      <c r="G17" s="61">
        <f>-G13+((G16*((1+G6/2)^Assumptions!$D$7+1)/2)-(G15*Assumptions!$D$36)-(Assumptions!$D$77*Assumptions!$D$57))*(1-(1+Assumptions!$D$68)^-Assumptions!$D$7)/Assumptions!$D$68+(((G16*(1+G6/2)^Assumptions!$D$7)*(1+G6)/G9*(1-0.03))/(1+Assumptions!$D$68)^Assumptions!$D$7)</f>
        <v/>
      </c>
    </row>
    <row r="18">
      <c r="B18" s="69" t="inlineStr">
        <is>
          <t>Equity IRR (stressed, approx)</t>
        </is>
      </c>
      <c r="C18" s="79">
        <f>IFERROR(IF(IFERROR((Assumptions!$D$7*((C16*((1+C6/2)^Assumptions!$D$7+1)/2)-(C13*Assumptions!$D$41*C10)-(Assumptions!$D$77*Assumptions!$D$57)-(C15*Assumptions!$D$36))+IF(C11=1,(((C16*(1+C6/2)^Assumptions!$D$7)*(1+C6)/C9*(1-0.03))-(C13*Assumptions!$D$41))*0.75,(((C16*(1+C6/2)^Assumptions!$D$7)*(1+C6)/C9*(1-0.03))-(C13*Assumptions!$D$41))))/(C13*(1-Assumptions!$D$41)),0)&gt;0,IFERROR((Assumptions!$D$7*((C16*((1+C6/2)^Assumptions!$D$7+1)/2)-(C13*Assumptions!$D$41*C10)-(Assumptions!$D$77*Assumptions!$D$57)-(C15*Assumptions!$D$36))+IF(C11=1,(((C16*(1+C6/2)^Assumptions!$D$7)*(1+C6)/C9*(1-0.03))-(C13*Assumptions!$D$41))*0.75,(((C16*(1+C6/2)^Assumptions!$D$7)*(1+C6)/C9*(1-0.03))-(C13*Assumptions!$D$41))))/(C13*(1-Assumptions!$D$41)),0)^(1/Assumptions!$D$7)-1,-1),-1)</f>
        <v/>
      </c>
      <c r="D18" s="79">
        <f>IFERROR(IF(IFERROR((Assumptions!$D$7*((D16*((1+D6/2)^Assumptions!$D$7+1)/2)-(D13*Assumptions!$D$41*D10)-(Assumptions!$D$77*Assumptions!$D$57)-(D15*Assumptions!$D$36))+IF(D11=1,(((D16*(1+D6/2)^Assumptions!$D$7)*(1+D6)/D9*(1-0.03))-(D13*Assumptions!$D$41))*0.75,(((D16*(1+D6/2)^Assumptions!$D$7)*(1+D6)/D9*(1-0.03))-(D13*Assumptions!$D$41))))/(D13*(1-Assumptions!$D$41)),0)&gt;0,IFERROR((Assumptions!$D$7*((D16*((1+D6/2)^Assumptions!$D$7+1)/2)-(D13*Assumptions!$D$41*D10)-(Assumptions!$D$77*Assumptions!$D$57)-(D15*Assumptions!$D$36))+IF(D11=1,(((D16*(1+D6/2)^Assumptions!$D$7)*(1+D6)/D9*(1-0.03))-(D13*Assumptions!$D$41))*0.75,(((D16*(1+D6/2)^Assumptions!$D$7)*(1+D6)/D9*(1-0.03))-(D13*Assumptions!$D$41))))/(D13*(1-Assumptions!$D$41)),0)^(1/Assumptions!$D$7)-1,-1),-1)</f>
        <v/>
      </c>
      <c r="E18" s="79">
        <f>IFERROR(IF(IFERROR((Assumptions!$D$7*((E16*((1+E6/2)^Assumptions!$D$7+1)/2)-(E13*Assumptions!$D$41*E10)-(Assumptions!$D$77*Assumptions!$D$57)-(E15*Assumptions!$D$36))+IF(E11=1,(((E16*(1+E6/2)^Assumptions!$D$7)*(1+E6)/E9*(1-0.03))-(E13*Assumptions!$D$41))*0.75,(((E16*(1+E6/2)^Assumptions!$D$7)*(1+E6)/E9*(1-0.03))-(E13*Assumptions!$D$41))))/(E13*(1-Assumptions!$D$41)),0)&gt;0,IFERROR((Assumptions!$D$7*((E16*((1+E6/2)^Assumptions!$D$7+1)/2)-(E13*Assumptions!$D$41*E10)-(Assumptions!$D$77*Assumptions!$D$57)-(E15*Assumptions!$D$36))+IF(E11=1,(((E16*(1+E6/2)^Assumptions!$D$7)*(1+E6)/E9*(1-0.03))-(E13*Assumptions!$D$41))*0.75,(((E16*(1+E6/2)^Assumptions!$D$7)*(1+E6)/E9*(1-0.03))-(E13*Assumptions!$D$41))))/(E13*(1-Assumptions!$D$41)),0)^(1/Assumptions!$D$7)-1,-1),-1)</f>
        <v/>
      </c>
      <c r="F18" s="79">
        <f>IFERROR(IF(IFERROR((Assumptions!$D$7*((F16*((1+F6/2)^Assumptions!$D$7+1)/2)-(F13*Assumptions!$D$41*F10)-(Assumptions!$D$77*Assumptions!$D$57)-(F15*Assumptions!$D$36))+IF(F11=1,(((F16*(1+F6/2)^Assumptions!$D$7)*(1+F6)/F9*(1-0.03))-(F13*Assumptions!$D$41))*0.75,(((F16*(1+F6/2)^Assumptions!$D$7)*(1+F6)/F9*(1-0.03))-(F13*Assumptions!$D$41))))/(F13*(1-Assumptions!$D$41)),0)&gt;0,IFERROR((Assumptions!$D$7*((F16*((1+F6/2)^Assumptions!$D$7+1)/2)-(F13*Assumptions!$D$41*F10)-(Assumptions!$D$77*Assumptions!$D$57)-(F15*Assumptions!$D$36))+IF(F11=1,(((F16*(1+F6/2)^Assumptions!$D$7)*(1+F6)/F9*(1-0.03))-(F13*Assumptions!$D$41))*0.75,(((F16*(1+F6/2)^Assumptions!$D$7)*(1+F6)/F9*(1-0.03))-(F13*Assumptions!$D$41))))/(F13*(1-Assumptions!$D$41)),0)^(1/Assumptions!$D$7)-1,-1),-1)</f>
        <v/>
      </c>
      <c r="G18" s="79">
        <f>IFERROR(IF(IFERROR((Assumptions!$D$7*((G16*((1+G6/2)^Assumptions!$D$7+1)/2)-(G13*Assumptions!$D$41*G10)-(Assumptions!$D$77*Assumptions!$D$57)-(G15*Assumptions!$D$36))+IF(G11=1,(((G16*(1+G6/2)^Assumptions!$D$7)*(1+G6)/G9*(1-0.03))-(G13*Assumptions!$D$41))*0.75,(((G16*(1+G6/2)^Assumptions!$D$7)*(1+G6)/G9*(1-0.03))-(G13*Assumptions!$D$41))))/(G13*(1-Assumptions!$D$41)),0)&gt;0,IFERROR((Assumptions!$D$7*((G16*((1+G6/2)^Assumptions!$D$7+1)/2)-(G13*Assumptions!$D$41*G10)-(Assumptions!$D$77*Assumptions!$D$57)-(G15*Assumptions!$D$36))+IF(G11=1,(((G16*(1+G6/2)^Assumptions!$D$7)*(1+G6)/G9*(1-0.03))-(G13*Assumptions!$D$41))*0.75,(((G16*(1+G6/2)^Assumptions!$D$7)*(1+G6)/G9*(1-0.03))-(G13*Assumptions!$D$41))))/(G13*(1-Assumptions!$D$41)),0)^(1/Assumptions!$D$7)-1,-1),-1)</f>
        <v/>
      </c>
    </row>
    <row r="19">
      <c r="B19" s="58" t="inlineStr">
        <is>
          <t>MOIC (stressed, approx)</t>
        </is>
      </c>
      <c r="C19" s="72">
        <f>IFERROR((Assumptions!$D$7*((C16*((1+C6/2)^Assumptions!$D$7+1)/2)-(C13*Assumptions!$D$41*C10)-(Assumptions!$D$77*Assumptions!$D$57)-(C15*Assumptions!$D$36))+IF(C11=1,(((C16*(1+C6/2)^Assumptions!$D$7)*(1+C6)/C9*(1-0.03))-(C13*Assumptions!$D$41))*0.75,(((C16*(1+C6/2)^Assumptions!$D$7)*(1+C6)/C9*(1-0.03))-(C13*Assumptions!$D$41))))/(C13*(1-Assumptions!$D$41)),0)</f>
        <v/>
      </c>
      <c r="D19" s="72">
        <f>IFERROR((Assumptions!$D$7*((D16*((1+D6/2)^Assumptions!$D$7+1)/2)-(D13*Assumptions!$D$41*D10)-(Assumptions!$D$77*Assumptions!$D$57)-(D15*Assumptions!$D$36))+IF(D11=1,(((D16*(1+D6/2)^Assumptions!$D$7)*(1+D6)/D9*(1-0.03))-(D13*Assumptions!$D$41))*0.75,(((D16*(1+D6/2)^Assumptions!$D$7)*(1+D6)/D9*(1-0.03))-(D13*Assumptions!$D$41))))/(D13*(1-Assumptions!$D$41)),0)</f>
        <v/>
      </c>
      <c r="E19" s="72">
        <f>IFERROR((Assumptions!$D$7*((E16*((1+E6/2)^Assumptions!$D$7+1)/2)-(E13*Assumptions!$D$41*E10)-(Assumptions!$D$77*Assumptions!$D$57)-(E15*Assumptions!$D$36))+IF(E11=1,(((E16*(1+E6/2)^Assumptions!$D$7)*(1+E6)/E9*(1-0.03))-(E13*Assumptions!$D$41))*0.75,(((E16*(1+E6/2)^Assumptions!$D$7)*(1+E6)/E9*(1-0.03))-(E13*Assumptions!$D$41))))/(E13*(1-Assumptions!$D$41)),0)</f>
        <v/>
      </c>
      <c r="F19" s="72">
        <f>IFERROR((Assumptions!$D$7*((F16*((1+F6/2)^Assumptions!$D$7+1)/2)-(F13*Assumptions!$D$41*F10)-(Assumptions!$D$77*Assumptions!$D$57)-(F15*Assumptions!$D$36))+IF(F11=1,(((F16*(1+F6/2)^Assumptions!$D$7)*(1+F6)/F9*(1-0.03))-(F13*Assumptions!$D$41))*0.75,(((F16*(1+F6/2)^Assumptions!$D$7)*(1+F6)/F9*(1-0.03))-(F13*Assumptions!$D$41))))/(F13*(1-Assumptions!$D$41)),0)</f>
        <v/>
      </c>
      <c r="G19" s="72">
        <f>IFERROR((Assumptions!$D$7*((G16*((1+G6/2)^Assumptions!$D$7+1)/2)-(G13*Assumptions!$D$41*G10)-(Assumptions!$D$77*Assumptions!$D$57)-(G15*Assumptions!$D$36))+IF(G11=1,(((G16*(1+G6/2)^Assumptions!$D$7)*(1+G6)/G9*(1-0.03))-(G13*Assumptions!$D$41))*0.75,(((G16*(1+G6/2)^Assumptions!$D$7)*(1+G6)/G9*(1-0.03))-(G13*Assumptions!$D$41))))/(G13*(1-Assumptions!$D$41)),0)</f>
        <v/>
      </c>
    </row>
    <row r="20">
      <c r="B20" s="69" t="inlineStr">
        <is>
          <t>Y1 DSCR (stressed)</t>
        </is>
      </c>
      <c r="C20" s="72">
        <f>C16/(Assumptions!$D$47*C10)</f>
        <v/>
      </c>
      <c r="D20" s="72">
        <f>D16/(Assumptions!$D$47*D10)</f>
        <v/>
      </c>
      <c r="E20" s="72">
        <f>E16/(Assumptions!$D$47*E10)</f>
        <v/>
      </c>
      <c r="F20" s="72">
        <f>F16/(Assumptions!$D$47*F10)</f>
        <v/>
      </c>
      <c r="G20" s="72">
        <f>G16/(Assumptions!$D$47*G10)</f>
        <v/>
      </c>
    </row>
    <row r="21">
      <c r="B21" s="58" t="inlineStr">
        <is>
          <t>Exit value (stressed)</t>
        </is>
      </c>
      <c r="C21" s="61">
        <f>(C16*(1+C6/2)^Assumptions!$D$7)*(1+C6)/C9*(1-0.03)</f>
        <v/>
      </c>
      <c r="D21" s="61">
        <f>(D16*(1+D6/2)^Assumptions!$D$7)*(1+D6)/D9*(1-0.03)</f>
        <v/>
      </c>
      <c r="E21" s="61">
        <f>(E16*(1+E6/2)^Assumptions!$D$7)*(1+E6)/E9*(1-0.03)</f>
        <v/>
      </c>
      <c r="F21" s="61">
        <f>(F16*(1+F6/2)^Assumptions!$D$7)*(1+F6)/F9*(1-0.03)</f>
        <v/>
      </c>
      <c r="G21" s="61">
        <f>(G16*(1+G6/2)^Assumptions!$D$7)*(1+G6)/G9*(1-0.03)</f>
        <v/>
      </c>
    </row>
    <row r="22">
      <c r="B22" s="69" t="inlineStr">
        <is>
          <t>Investment verdict</t>
        </is>
      </c>
      <c r="C22">
        <f>IF(C17&gt;=0,IF(C18&gt;=Assumptions!$D$71,"INVESTABLE","MARGINAL"),"REJECT")</f>
        <v/>
      </c>
      <c r="D22">
        <f>IF(D17&gt;=0,IF(D18&gt;=Assumptions!$D$71,"INVESTABLE","MARGINAL"),"REJECT")</f>
        <v/>
      </c>
      <c r="E22">
        <f>IF(E17&gt;=0,IF(E18&gt;=Assumptions!$D$71,"INVESTABLE","MARGINAL"),"REJECT")</f>
        <v/>
      </c>
      <c r="F22">
        <f>IF(F17&gt;=0,IF(F18&gt;=Assumptions!$D$71,"INVESTABLE","MARGINAL"),"REJECT")</f>
        <v/>
      </c>
      <c r="G22">
        <f>IF(G17&gt;=0,IF(G18&gt;=Assumptions!$D$71,"INVESTABLE","MARGINAL"),"REJECT")</f>
        <v/>
      </c>
    </row>
  </sheetData>
  <conditionalFormatting sqref="C22:G22">
    <cfRule type="cellIs" priority="1" operator="equal" dxfId="5">
      <formula>"INVESTABLE"</formula>
    </cfRule>
    <cfRule type="cellIs" priority="2" operator="equal" dxfId="4">
      <formula>"REJECT"</formula>
    </cfRule>
    <cfRule type="cellIs" priority="3" operator="equal" dxfId="6">
      <formula>"MARGINAL"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36" customWidth="1" min="2" max="2"/>
    <col width="2" customWidth="1" min="3" max="3"/>
    <col width="15" customWidth="1" min="4" max="8"/>
  </cols>
  <sheetData>
    <row r="2" ht="27.75" customHeight="1">
      <c r="B2" s="3" t="inlineStr">
        <is>
          <t>SENSITIVITY ANALYSIS</t>
        </is>
      </c>
    </row>
    <row r="3" ht="15" customHeight="1">
      <c r="B3" s="10" t="inlineStr">
        <is>
          <t>Excel two-variable data tables are not auto-generated by Python. To populate, use Data &gt; What-If &gt; Data Table on the matrices below.</t>
        </is>
      </c>
    </row>
    <row r="5" ht="15" customHeight="1">
      <c r="B5" s="2" t="inlineStr">
        <is>
          <t>EXIT CAP RATE SENSITIVITY (Equity IRR)</t>
        </is>
      </c>
    </row>
    <row r="6" ht="15" customHeight="1">
      <c r="B6" s="10" t="inlineStr">
        <is>
          <t>Equity IRR (base case)</t>
        </is>
      </c>
      <c r="D6" s="34">
        <f>Returns!D6</f>
        <v/>
      </c>
    </row>
    <row r="8" ht="15" customHeight="1">
      <c r="B8" s="31" t="inlineStr">
        <is>
          <t>Exit cap rate Δ:</t>
        </is>
      </c>
      <c r="C8" s="42" t="n">
        <v>-0.01</v>
      </c>
      <c r="D8" s="42" t="n">
        <v>-0.005</v>
      </c>
      <c r="E8" s="42" t="n">
        <v>0</v>
      </c>
      <c r="F8" s="42" t="n">
        <v>0.005</v>
      </c>
      <c r="G8" s="42" t="n">
        <v>0.01</v>
      </c>
      <c r="H8" s="42" t="n">
        <v>0.015</v>
      </c>
    </row>
    <row r="9" ht="15" customHeight="1">
      <c r="B9" s="10" t="inlineStr">
        <is>
          <t>Resulting exit cap</t>
        </is>
      </c>
      <c r="C9" s="43">
        <f>Assumptions!$D$51+C8</f>
        <v/>
      </c>
      <c r="D9" s="43">
        <f>Assumptions!$D$51+D8</f>
        <v/>
      </c>
      <c r="E9" s="43">
        <f>Assumptions!$D$51+E8</f>
        <v/>
      </c>
      <c r="F9" s="43">
        <f>Assumptions!$D$51+F8</f>
        <v/>
      </c>
      <c r="G9" s="43">
        <f>Assumptions!$D$51+G8</f>
        <v/>
      </c>
      <c r="H9" s="43">
        <f>Assumptions!$D$51+H8</f>
        <v/>
      </c>
    </row>
    <row r="10" ht="15" customHeight="1">
      <c r="B10" s="10" t="inlineStr">
        <is>
          <t>Gross exit value (SAR)</t>
        </is>
      </c>
      <c r="C10" s="25">
        <f>DCF!N6/C9</f>
        <v/>
      </c>
      <c r="D10" s="25">
        <f>DCF!N6/D9</f>
        <v/>
      </c>
      <c r="E10" s="25">
        <f>DCF!N6/E9</f>
        <v/>
      </c>
      <c r="F10" s="25">
        <f>DCF!N6/F9</f>
        <v/>
      </c>
      <c r="G10" s="25">
        <f>DCF!N6/G9</f>
        <v/>
      </c>
      <c r="H10" s="25">
        <f>DCF!N6/H9</f>
        <v/>
      </c>
    </row>
    <row r="11" ht="15" customHeight="1">
      <c r="B11" s="10" t="inlineStr">
        <is>
          <t>Net exit value (after disposal costs)</t>
        </is>
      </c>
      <c r="C11" s="25">
        <f>C10*(1-Assumptions!$D$52-Assumptions!$D$53-Assumptions!$D$54)</f>
        <v/>
      </c>
      <c r="D11" s="25">
        <f>D10*(1-Assumptions!$D$52-Assumptions!$D$53-Assumptions!$D$54)</f>
        <v/>
      </c>
      <c r="E11" s="25">
        <f>E10*(1-Assumptions!$D$52-Assumptions!$D$53-Assumptions!$D$54)</f>
        <v/>
      </c>
      <c r="F11" s="25">
        <f>F10*(1-Assumptions!$D$52-Assumptions!$D$53-Assumptions!$D$54)</f>
        <v/>
      </c>
      <c r="G11" s="25">
        <f>G10*(1-Assumptions!$D$52-Assumptions!$D$53-Assumptions!$D$54)</f>
        <v/>
      </c>
      <c r="H11" s="25">
        <f>H10*(1-Assumptions!$D$52-Assumptions!$D$53-Assumptions!$D$54)</f>
        <v/>
      </c>
    </row>
    <row r="12" ht="15" customHeight="1">
      <c r="B12" s="10" t="inlineStr">
        <is>
          <t>Δ equity proceeds at exit</t>
        </is>
      </c>
      <c r="C12" s="25">
        <f>C11-DCF!N10</f>
        <v/>
      </c>
      <c r="D12" s="25">
        <f>D11-DCF!N10</f>
        <v/>
      </c>
      <c r="E12" s="25">
        <f>E11-DCF!N10</f>
        <v/>
      </c>
      <c r="F12" s="25">
        <f>F11-DCF!N10</f>
        <v/>
      </c>
      <c r="G12" s="25">
        <f>G11-DCF!N10</f>
        <v/>
      </c>
      <c r="H12" s="25">
        <f>H11-DCF!N10</f>
        <v/>
      </c>
    </row>
    <row r="14" ht="15" customHeight="1">
      <c r="B14" s="2" t="inlineStr">
        <is>
          <t>VACANCY SENSITIVITY (Y1 NOI)</t>
        </is>
      </c>
    </row>
    <row r="15" ht="15" customHeight="1">
      <c r="B15" s="31" t="inlineStr">
        <is>
          <t>Vacancy rate</t>
        </is>
      </c>
      <c r="C15" s="44" t="n">
        <v>0</v>
      </c>
      <c r="D15" s="44" t="n">
        <v>0.025</v>
      </c>
      <c r="E15" s="44" t="n">
        <v>0.05</v>
      </c>
      <c r="F15" s="44" t="n">
        <v>0.1</v>
      </c>
      <c r="G15" s="44" t="n">
        <v>0.15</v>
      </c>
      <c r="H15" s="44" t="n">
        <v>0.2</v>
      </c>
    </row>
    <row r="16" ht="15" customHeight="1">
      <c r="B16" s="10" t="inlineStr">
        <is>
          <t>Y1 EGI</t>
        </is>
      </c>
      <c r="C16" s="25">
        <f>Assumptions!$D$19*(1-C15)</f>
        <v/>
      </c>
      <c r="D16" s="25">
        <f>Assumptions!$D$19*(1-D15)</f>
        <v/>
      </c>
      <c r="E16" s="25">
        <f>Assumptions!$D$19*(1-E15)</f>
        <v/>
      </c>
      <c r="F16" s="25">
        <f>Assumptions!$D$19*(1-F15)</f>
        <v/>
      </c>
      <c r="G16" s="25">
        <f>Assumptions!$D$19*(1-G15)</f>
        <v/>
      </c>
      <c r="H16" s="25">
        <f>Assumptions!$D$19*(1-H15)</f>
        <v/>
      </c>
    </row>
    <row r="17" ht="15" customHeight="1">
      <c r="B17" s="10" t="inlineStr">
        <is>
          <t>Y1 NOI (approx)</t>
        </is>
      </c>
      <c r="C17" s="25">
        <f>C16*(1-Assumptions!$D$25-Assumptions!$D$26)</f>
        <v/>
      </c>
      <c r="D17" s="25">
        <f>D16*(1-Assumptions!$D$25-Assumptions!$D$26)</f>
        <v/>
      </c>
      <c r="E17" s="25">
        <f>E16*(1-Assumptions!$D$25-Assumptions!$D$26)</f>
        <v/>
      </c>
      <c r="F17" s="25">
        <f>F16*(1-Assumptions!$D$25-Assumptions!$D$26)</f>
        <v/>
      </c>
      <c r="G17" s="25">
        <f>G16*(1-Assumptions!$D$25-Assumptions!$D$26)</f>
        <v/>
      </c>
      <c r="H17" s="25">
        <f>H16*(1-Assumptions!$D$25-Assumptions!$D$26)</f>
        <v/>
      </c>
    </row>
    <row r="18" ht="15" customHeight="1">
      <c r="B18" s="10" t="inlineStr">
        <is>
          <t>Y1 DSCR (approx)</t>
        </is>
      </c>
      <c r="C18" s="30">
        <f>IFERROR(C17/ABS(Debt!E12),0)</f>
        <v/>
      </c>
      <c r="D18" s="30">
        <f>IFERROR(D17/ABS(Debt!E12),0)</f>
        <v/>
      </c>
      <c r="E18" s="30">
        <f>IFERROR(E17/ABS(Debt!E12),0)</f>
        <v/>
      </c>
      <c r="F18" s="30">
        <f>IFERROR(F17/ABS(Debt!E12),0)</f>
        <v/>
      </c>
      <c r="G18" s="30">
        <f>IFERROR(G17/ABS(Debt!E12),0)</f>
        <v/>
      </c>
      <c r="H18" s="30">
        <f>IFERROR(H17/ABS(Debt!E12),0)</f>
        <v/>
      </c>
    </row>
    <row r="20" ht="15" customHeight="1">
      <c r="B20" s="2" t="inlineStr">
        <is>
          <t>COST OF DEBT SENSITIVITY (Y1 DSCR)</t>
        </is>
      </c>
    </row>
    <row r="21" ht="15" customHeight="1">
      <c r="B21" s="31" t="inlineStr">
        <is>
          <t>Cost of debt</t>
        </is>
      </c>
      <c r="C21" s="44" t="n">
        <v>0.05</v>
      </c>
      <c r="D21" s="44" t="n">
        <v>0.06</v>
      </c>
      <c r="E21" s="44" t="n">
        <v>0.07000000000000001</v>
      </c>
      <c r="F21" s="44" t="n">
        <v>0.08</v>
      </c>
      <c r="G21" s="44" t="n">
        <v>0.09</v>
      </c>
      <c r="H21" s="44" t="n">
        <v>0.1</v>
      </c>
    </row>
    <row r="22" ht="15" customHeight="1">
      <c r="B22" s="10" t="inlineStr">
        <is>
          <t>Y1 interest (approx)</t>
        </is>
      </c>
      <c r="C22" s="25">
        <f>Assumptions!$D$47*C21</f>
        <v/>
      </c>
      <c r="D22" s="25">
        <f>Assumptions!$D$47*D21</f>
        <v/>
      </c>
      <c r="E22" s="25">
        <f>Assumptions!$D$47*E21</f>
        <v/>
      </c>
      <c r="F22" s="25">
        <f>Assumptions!$D$47*F21</f>
        <v/>
      </c>
      <c r="G22" s="25">
        <f>Assumptions!$D$47*G21</f>
        <v/>
      </c>
      <c r="H22" s="25">
        <f>Assumptions!$D$47*H21</f>
        <v/>
      </c>
    </row>
    <row r="23" ht="15" customHeight="1">
      <c r="B23" s="10" t="inlineStr">
        <is>
          <t>Y1 DSCR (approx, interest-only proxy)</t>
        </is>
      </c>
      <c r="C23" s="30">
        <f>IFERROR(OpEx_CapEx!E9/C22,0)</f>
        <v/>
      </c>
      <c r="D23" s="30">
        <f>IFERROR(OpEx_CapEx!E9/D22,0)</f>
        <v/>
      </c>
      <c r="E23" s="30">
        <f>IFERROR(OpEx_CapEx!E9/E22,0)</f>
        <v/>
      </c>
      <c r="F23" s="30">
        <f>IFERROR(OpEx_CapEx!E9/F22,0)</f>
        <v/>
      </c>
      <c r="G23" s="30">
        <f>IFERROR(OpEx_CapEx!E9/G22,0)</f>
        <v/>
      </c>
      <c r="H23" s="30">
        <f>IFERROR(OpEx_CapEx!E9/H22,0)</f>
        <v/>
      </c>
    </row>
  </sheetData>
  <mergeCells count="4">
    <mergeCell ref="B2:H2"/>
    <mergeCell ref="B14:H14"/>
    <mergeCell ref="B20:H20"/>
    <mergeCell ref="B5:H5"/>
  </mergeCells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I41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73" t="inlineStr">
        <is>
          <t>TWO-WAY SENSITIVITY MATRICES — computed (no Data Table required)</t>
        </is>
      </c>
    </row>
    <row r="3">
      <c r="B3" s="52" t="inlineStr">
        <is>
          <t>Each cell rebuilds the analytic NPV/IRR/DSCR formula using paired shocks. Verify with Scenario_Engine for tied points.</t>
        </is>
      </c>
    </row>
    <row r="5">
      <c r="B5" s="53" t="inlineStr">
        <is>
          <t>MATRIX 1: Equity IRR (approx)  —  rows: Exit Cap;  cols: Cost of Debt</t>
        </is>
      </c>
    </row>
    <row r="7">
      <c r="C7" s="86" t="n">
        <v>0.055</v>
      </c>
      <c r="D7" s="86" t="n">
        <v>0.065</v>
      </c>
      <c r="E7" s="86" t="n">
        <v>0.07000000000000001</v>
      </c>
      <c r="F7" s="86" t="n">
        <v>0.075</v>
      </c>
      <c r="G7" s="86" t="n">
        <v>0.08500000000000001</v>
      </c>
      <c r="H7" s="86" t="n">
        <v>0.095</v>
      </c>
      <c r="I7" s="86" t="n">
        <v>0.105</v>
      </c>
    </row>
    <row r="8">
      <c r="B8" s="87" t="n">
        <v>0.06</v>
      </c>
      <c r="C8" s="88">
        <f>IFERROR(((Assumptions!$D$7*(OpEx_CapEx!$E$9*((1+Assumptions!$D$20/2)^Assumptions!$D$7+1)/2-Assumptions!$D$47*0.055-Assumptions!$D$77*Assumptions!$D$57)+OpEx_CapEx!$E$9*(1+Assumptions!$D$20/2)^Assumptions!$D$7*(1+Assumptions!$D$20)/0.06*(1-0.03)-Assumptions!$D$47)/Assumptions!$D$48)^(1/Assumptions!$D$7)-1,-1)</f>
        <v/>
      </c>
      <c r="D8" s="88">
        <f>IFERROR(((Assumptions!$D$7*(OpEx_CapEx!$E$9*((1+Assumptions!$D$20/2)^Assumptions!$D$7+1)/2-Assumptions!$D$47*0.065-Assumptions!$D$77*Assumptions!$D$57)+OpEx_CapEx!$E$9*(1+Assumptions!$D$20/2)^Assumptions!$D$7*(1+Assumptions!$D$20)/0.06*(1-0.03)-Assumptions!$D$47)/Assumptions!$D$48)^(1/Assumptions!$D$7)-1,-1)</f>
        <v/>
      </c>
      <c r="E8" s="88">
        <f>IFERROR(((Assumptions!$D$7*(OpEx_CapEx!$E$9*((1+Assumptions!$D$20/2)^Assumptions!$D$7+1)/2-Assumptions!$D$47*0.07-Assumptions!$D$77*Assumptions!$D$57)+OpEx_CapEx!$E$9*(1+Assumptions!$D$20/2)^Assumptions!$D$7*(1+Assumptions!$D$20)/0.06*(1-0.03)-Assumptions!$D$47)/Assumptions!$D$48)^(1/Assumptions!$D$7)-1,-1)</f>
        <v/>
      </c>
      <c r="F8" s="88">
        <f>IFERROR(((Assumptions!$D$7*(OpEx_CapEx!$E$9*((1+Assumptions!$D$20/2)^Assumptions!$D$7+1)/2-Assumptions!$D$47*0.075-Assumptions!$D$77*Assumptions!$D$57)+OpEx_CapEx!$E$9*(1+Assumptions!$D$20/2)^Assumptions!$D$7*(1+Assumptions!$D$20)/0.06*(1-0.03)-Assumptions!$D$47)/Assumptions!$D$48)^(1/Assumptions!$D$7)-1,-1)</f>
        <v/>
      </c>
      <c r="G8" s="88">
        <f>IFERROR(((Assumptions!$D$7*(OpEx_CapEx!$E$9*((1+Assumptions!$D$20/2)^Assumptions!$D$7+1)/2-Assumptions!$D$47*0.085-Assumptions!$D$77*Assumptions!$D$57)+OpEx_CapEx!$E$9*(1+Assumptions!$D$20/2)^Assumptions!$D$7*(1+Assumptions!$D$20)/0.06*(1-0.03)-Assumptions!$D$47)/Assumptions!$D$48)^(1/Assumptions!$D$7)-1,-1)</f>
        <v/>
      </c>
      <c r="H8" s="88">
        <f>IFERROR(((Assumptions!$D$7*(OpEx_CapEx!$E$9*((1+Assumptions!$D$20/2)^Assumptions!$D$7+1)/2-Assumptions!$D$47*0.095-Assumptions!$D$77*Assumptions!$D$57)+OpEx_CapEx!$E$9*(1+Assumptions!$D$20/2)^Assumptions!$D$7*(1+Assumptions!$D$20)/0.06*(1-0.03)-Assumptions!$D$47)/Assumptions!$D$48)^(1/Assumptions!$D$7)-1,-1)</f>
        <v/>
      </c>
      <c r="I8" s="88">
        <f>IFERROR(((Assumptions!$D$7*(OpEx_CapEx!$E$9*((1+Assumptions!$D$20/2)^Assumptions!$D$7+1)/2-Assumptions!$D$47*0.105-Assumptions!$D$77*Assumptions!$D$57)+OpEx_CapEx!$E$9*(1+Assumptions!$D$20/2)^Assumptions!$D$7*(1+Assumptions!$D$20)/0.06*(1-0.03)-Assumptions!$D$47)/Assumptions!$D$48)^(1/Assumptions!$D$7)-1,-1)</f>
        <v/>
      </c>
    </row>
    <row r="9">
      <c r="B9" s="87" t="n">
        <v>0.065</v>
      </c>
      <c r="C9" s="88">
        <f>IFERROR(((Assumptions!$D$7*(OpEx_CapEx!$E$9*((1+Assumptions!$D$20/2)^Assumptions!$D$7+1)/2-Assumptions!$D$47*0.055-Assumptions!$D$77*Assumptions!$D$57)+OpEx_CapEx!$E$9*(1+Assumptions!$D$20/2)^Assumptions!$D$7*(1+Assumptions!$D$20)/0.065*(1-0.03)-Assumptions!$D$47)/Assumptions!$D$48)^(1/Assumptions!$D$7)-1,-1)</f>
        <v/>
      </c>
      <c r="D9" s="88">
        <f>IFERROR(((Assumptions!$D$7*(OpEx_CapEx!$E$9*((1+Assumptions!$D$20/2)^Assumptions!$D$7+1)/2-Assumptions!$D$47*0.065-Assumptions!$D$77*Assumptions!$D$57)+OpEx_CapEx!$E$9*(1+Assumptions!$D$20/2)^Assumptions!$D$7*(1+Assumptions!$D$20)/0.065*(1-0.03)-Assumptions!$D$47)/Assumptions!$D$48)^(1/Assumptions!$D$7)-1,-1)</f>
        <v/>
      </c>
      <c r="E9" s="88">
        <f>IFERROR(((Assumptions!$D$7*(OpEx_CapEx!$E$9*((1+Assumptions!$D$20/2)^Assumptions!$D$7+1)/2-Assumptions!$D$47*0.07-Assumptions!$D$77*Assumptions!$D$57)+OpEx_CapEx!$E$9*(1+Assumptions!$D$20/2)^Assumptions!$D$7*(1+Assumptions!$D$20)/0.065*(1-0.03)-Assumptions!$D$47)/Assumptions!$D$48)^(1/Assumptions!$D$7)-1,-1)</f>
        <v/>
      </c>
      <c r="F9" s="88">
        <f>IFERROR(((Assumptions!$D$7*(OpEx_CapEx!$E$9*((1+Assumptions!$D$20/2)^Assumptions!$D$7+1)/2-Assumptions!$D$47*0.075-Assumptions!$D$77*Assumptions!$D$57)+OpEx_CapEx!$E$9*(1+Assumptions!$D$20/2)^Assumptions!$D$7*(1+Assumptions!$D$20)/0.065*(1-0.03)-Assumptions!$D$47)/Assumptions!$D$48)^(1/Assumptions!$D$7)-1,-1)</f>
        <v/>
      </c>
      <c r="G9" s="88">
        <f>IFERROR(((Assumptions!$D$7*(OpEx_CapEx!$E$9*((1+Assumptions!$D$20/2)^Assumptions!$D$7+1)/2-Assumptions!$D$47*0.085-Assumptions!$D$77*Assumptions!$D$57)+OpEx_CapEx!$E$9*(1+Assumptions!$D$20/2)^Assumptions!$D$7*(1+Assumptions!$D$20)/0.065*(1-0.03)-Assumptions!$D$47)/Assumptions!$D$48)^(1/Assumptions!$D$7)-1,-1)</f>
        <v/>
      </c>
      <c r="H9" s="88">
        <f>IFERROR(((Assumptions!$D$7*(OpEx_CapEx!$E$9*((1+Assumptions!$D$20/2)^Assumptions!$D$7+1)/2-Assumptions!$D$47*0.095-Assumptions!$D$77*Assumptions!$D$57)+OpEx_CapEx!$E$9*(1+Assumptions!$D$20/2)^Assumptions!$D$7*(1+Assumptions!$D$20)/0.065*(1-0.03)-Assumptions!$D$47)/Assumptions!$D$48)^(1/Assumptions!$D$7)-1,-1)</f>
        <v/>
      </c>
      <c r="I9" s="88">
        <f>IFERROR(((Assumptions!$D$7*(OpEx_CapEx!$E$9*((1+Assumptions!$D$20/2)^Assumptions!$D$7+1)/2-Assumptions!$D$47*0.105-Assumptions!$D$77*Assumptions!$D$57)+OpEx_CapEx!$E$9*(1+Assumptions!$D$20/2)^Assumptions!$D$7*(1+Assumptions!$D$20)/0.065*(1-0.03)-Assumptions!$D$47)/Assumptions!$D$48)^(1/Assumptions!$D$7)-1,-1)</f>
        <v/>
      </c>
    </row>
    <row r="10">
      <c r="B10" s="87" t="n">
        <v>0.07000000000000001</v>
      </c>
      <c r="C10" s="88">
        <f>IFERROR(((Assumptions!$D$7*(OpEx_CapEx!$E$9*((1+Assumptions!$D$20/2)^Assumptions!$D$7+1)/2-Assumptions!$D$47*0.055-Assumptions!$D$77*Assumptions!$D$57)+OpEx_CapEx!$E$9*(1+Assumptions!$D$20/2)^Assumptions!$D$7*(1+Assumptions!$D$20)/0.07*(1-0.03)-Assumptions!$D$47)/Assumptions!$D$48)^(1/Assumptions!$D$7)-1,-1)</f>
        <v/>
      </c>
      <c r="D10" s="88">
        <f>IFERROR(((Assumptions!$D$7*(OpEx_CapEx!$E$9*((1+Assumptions!$D$20/2)^Assumptions!$D$7+1)/2-Assumptions!$D$47*0.065-Assumptions!$D$77*Assumptions!$D$57)+OpEx_CapEx!$E$9*(1+Assumptions!$D$20/2)^Assumptions!$D$7*(1+Assumptions!$D$20)/0.07*(1-0.03)-Assumptions!$D$47)/Assumptions!$D$48)^(1/Assumptions!$D$7)-1,-1)</f>
        <v/>
      </c>
      <c r="E10" s="88">
        <f>IFERROR(((Assumptions!$D$7*(OpEx_CapEx!$E$9*((1+Assumptions!$D$20/2)^Assumptions!$D$7+1)/2-Assumptions!$D$47*0.07-Assumptions!$D$77*Assumptions!$D$57)+OpEx_CapEx!$E$9*(1+Assumptions!$D$20/2)^Assumptions!$D$7*(1+Assumptions!$D$20)/0.07*(1-0.03)-Assumptions!$D$47)/Assumptions!$D$48)^(1/Assumptions!$D$7)-1,-1)</f>
        <v/>
      </c>
      <c r="F10" s="88">
        <f>IFERROR(((Assumptions!$D$7*(OpEx_CapEx!$E$9*((1+Assumptions!$D$20/2)^Assumptions!$D$7+1)/2-Assumptions!$D$47*0.075-Assumptions!$D$77*Assumptions!$D$57)+OpEx_CapEx!$E$9*(1+Assumptions!$D$20/2)^Assumptions!$D$7*(1+Assumptions!$D$20)/0.07*(1-0.03)-Assumptions!$D$47)/Assumptions!$D$48)^(1/Assumptions!$D$7)-1,-1)</f>
        <v/>
      </c>
      <c r="G10" s="88">
        <f>IFERROR(((Assumptions!$D$7*(OpEx_CapEx!$E$9*((1+Assumptions!$D$20/2)^Assumptions!$D$7+1)/2-Assumptions!$D$47*0.085-Assumptions!$D$77*Assumptions!$D$57)+OpEx_CapEx!$E$9*(1+Assumptions!$D$20/2)^Assumptions!$D$7*(1+Assumptions!$D$20)/0.07*(1-0.03)-Assumptions!$D$47)/Assumptions!$D$48)^(1/Assumptions!$D$7)-1,-1)</f>
        <v/>
      </c>
      <c r="H10" s="88">
        <f>IFERROR(((Assumptions!$D$7*(OpEx_CapEx!$E$9*((1+Assumptions!$D$20/2)^Assumptions!$D$7+1)/2-Assumptions!$D$47*0.095-Assumptions!$D$77*Assumptions!$D$57)+OpEx_CapEx!$E$9*(1+Assumptions!$D$20/2)^Assumptions!$D$7*(1+Assumptions!$D$20)/0.07*(1-0.03)-Assumptions!$D$47)/Assumptions!$D$48)^(1/Assumptions!$D$7)-1,-1)</f>
        <v/>
      </c>
      <c r="I10" s="88">
        <f>IFERROR(((Assumptions!$D$7*(OpEx_CapEx!$E$9*((1+Assumptions!$D$20/2)^Assumptions!$D$7+1)/2-Assumptions!$D$47*0.105-Assumptions!$D$77*Assumptions!$D$57)+OpEx_CapEx!$E$9*(1+Assumptions!$D$20/2)^Assumptions!$D$7*(1+Assumptions!$D$20)/0.07*(1-0.03)-Assumptions!$D$47)/Assumptions!$D$48)^(1/Assumptions!$D$7)-1,-1)</f>
        <v/>
      </c>
    </row>
    <row r="11">
      <c r="B11" s="87" t="n">
        <v>0.075</v>
      </c>
      <c r="C11" s="88">
        <f>IFERROR(((Assumptions!$D$7*(OpEx_CapEx!$E$9*((1+Assumptions!$D$20/2)^Assumptions!$D$7+1)/2-Assumptions!$D$47*0.055-Assumptions!$D$77*Assumptions!$D$57)+OpEx_CapEx!$E$9*(1+Assumptions!$D$20/2)^Assumptions!$D$7*(1+Assumptions!$D$20)/0.075*(1-0.03)-Assumptions!$D$47)/Assumptions!$D$48)^(1/Assumptions!$D$7)-1,-1)</f>
        <v/>
      </c>
      <c r="D11" s="88">
        <f>IFERROR(((Assumptions!$D$7*(OpEx_CapEx!$E$9*((1+Assumptions!$D$20/2)^Assumptions!$D$7+1)/2-Assumptions!$D$47*0.065-Assumptions!$D$77*Assumptions!$D$57)+OpEx_CapEx!$E$9*(1+Assumptions!$D$20/2)^Assumptions!$D$7*(1+Assumptions!$D$20)/0.075*(1-0.03)-Assumptions!$D$47)/Assumptions!$D$48)^(1/Assumptions!$D$7)-1,-1)</f>
        <v/>
      </c>
      <c r="E11" s="88">
        <f>IFERROR(((Assumptions!$D$7*(OpEx_CapEx!$E$9*((1+Assumptions!$D$20/2)^Assumptions!$D$7+1)/2-Assumptions!$D$47*0.07-Assumptions!$D$77*Assumptions!$D$57)+OpEx_CapEx!$E$9*(1+Assumptions!$D$20/2)^Assumptions!$D$7*(1+Assumptions!$D$20)/0.075*(1-0.03)-Assumptions!$D$47)/Assumptions!$D$48)^(1/Assumptions!$D$7)-1,-1)</f>
        <v/>
      </c>
      <c r="F11" s="88">
        <f>IFERROR(((Assumptions!$D$7*(OpEx_CapEx!$E$9*((1+Assumptions!$D$20/2)^Assumptions!$D$7+1)/2-Assumptions!$D$47*0.075-Assumptions!$D$77*Assumptions!$D$57)+OpEx_CapEx!$E$9*(1+Assumptions!$D$20/2)^Assumptions!$D$7*(1+Assumptions!$D$20)/0.075*(1-0.03)-Assumptions!$D$47)/Assumptions!$D$48)^(1/Assumptions!$D$7)-1,-1)</f>
        <v/>
      </c>
      <c r="G11" s="88">
        <f>IFERROR(((Assumptions!$D$7*(OpEx_CapEx!$E$9*((1+Assumptions!$D$20/2)^Assumptions!$D$7+1)/2-Assumptions!$D$47*0.085-Assumptions!$D$77*Assumptions!$D$57)+OpEx_CapEx!$E$9*(1+Assumptions!$D$20/2)^Assumptions!$D$7*(1+Assumptions!$D$20)/0.075*(1-0.03)-Assumptions!$D$47)/Assumptions!$D$48)^(1/Assumptions!$D$7)-1,-1)</f>
        <v/>
      </c>
      <c r="H11" s="88">
        <f>IFERROR(((Assumptions!$D$7*(OpEx_CapEx!$E$9*((1+Assumptions!$D$20/2)^Assumptions!$D$7+1)/2-Assumptions!$D$47*0.095-Assumptions!$D$77*Assumptions!$D$57)+OpEx_CapEx!$E$9*(1+Assumptions!$D$20/2)^Assumptions!$D$7*(1+Assumptions!$D$20)/0.075*(1-0.03)-Assumptions!$D$47)/Assumptions!$D$48)^(1/Assumptions!$D$7)-1,-1)</f>
        <v/>
      </c>
      <c r="I11" s="88">
        <f>IFERROR(((Assumptions!$D$7*(OpEx_CapEx!$E$9*((1+Assumptions!$D$20/2)^Assumptions!$D$7+1)/2-Assumptions!$D$47*0.105-Assumptions!$D$77*Assumptions!$D$57)+OpEx_CapEx!$E$9*(1+Assumptions!$D$20/2)^Assumptions!$D$7*(1+Assumptions!$D$20)/0.075*(1-0.03)-Assumptions!$D$47)/Assumptions!$D$48)^(1/Assumptions!$D$7)-1,-1)</f>
        <v/>
      </c>
    </row>
    <row r="12">
      <c r="B12" s="87" t="n">
        <v>0.08</v>
      </c>
      <c r="C12" s="88">
        <f>IFERROR(((Assumptions!$D$7*(OpEx_CapEx!$E$9*((1+Assumptions!$D$20/2)^Assumptions!$D$7+1)/2-Assumptions!$D$47*0.055-Assumptions!$D$77*Assumptions!$D$57)+OpEx_CapEx!$E$9*(1+Assumptions!$D$20/2)^Assumptions!$D$7*(1+Assumptions!$D$20)/0.08*(1-0.03)-Assumptions!$D$47)/Assumptions!$D$48)^(1/Assumptions!$D$7)-1,-1)</f>
        <v/>
      </c>
      <c r="D12" s="88">
        <f>IFERROR(((Assumptions!$D$7*(OpEx_CapEx!$E$9*((1+Assumptions!$D$20/2)^Assumptions!$D$7+1)/2-Assumptions!$D$47*0.065-Assumptions!$D$77*Assumptions!$D$57)+OpEx_CapEx!$E$9*(1+Assumptions!$D$20/2)^Assumptions!$D$7*(1+Assumptions!$D$20)/0.08*(1-0.03)-Assumptions!$D$47)/Assumptions!$D$48)^(1/Assumptions!$D$7)-1,-1)</f>
        <v/>
      </c>
      <c r="E12" s="88">
        <f>IFERROR(((Assumptions!$D$7*(OpEx_CapEx!$E$9*((1+Assumptions!$D$20/2)^Assumptions!$D$7+1)/2-Assumptions!$D$47*0.07-Assumptions!$D$77*Assumptions!$D$57)+OpEx_CapEx!$E$9*(1+Assumptions!$D$20/2)^Assumptions!$D$7*(1+Assumptions!$D$20)/0.08*(1-0.03)-Assumptions!$D$47)/Assumptions!$D$48)^(1/Assumptions!$D$7)-1,-1)</f>
        <v/>
      </c>
      <c r="F12" s="88">
        <f>IFERROR(((Assumptions!$D$7*(OpEx_CapEx!$E$9*((1+Assumptions!$D$20/2)^Assumptions!$D$7+1)/2-Assumptions!$D$47*0.075-Assumptions!$D$77*Assumptions!$D$57)+OpEx_CapEx!$E$9*(1+Assumptions!$D$20/2)^Assumptions!$D$7*(1+Assumptions!$D$20)/0.08*(1-0.03)-Assumptions!$D$47)/Assumptions!$D$48)^(1/Assumptions!$D$7)-1,-1)</f>
        <v/>
      </c>
      <c r="G12" s="88">
        <f>IFERROR(((Assumptions!$D$7*(OpEx_CapEx!$E$9*((1+Assumptions!$D$20/2)^Assumptions!$D$7+1)/2-Assumptions!$D$47*0.085-Assumptions!$D$77*Assumptions!$D$57)+OpEx_CapEx!$E$9*(1+Assumptions!$D$20/2)^Assumptions!$D$7*(1+Assumptions!$D$20)/0.08*(1-0.03)-Assumptions!$D$47)/Assumptions!$D$48)^(1/Assumptions!$D$7)-1,-1)</f>
        <v/>
      </c>
      <c r="H12" s="88">
        <f>IFERROR(((Assumptions!$D$7*(OpEx_CapEx!$E$9*((1+Assumptions!$D$20/2)^Assumptions!$D$7+1)/2-Assumptions!$D$47*0.095-Assumptions!$D$77*Assumptions!$D$57)+OpEx_CapEx!$E$9*(1+Assumptions!$D$20/2)^Assumptions!$D$7*(1+Assumptions!$D$20)/0.08*(1-0.03)-Assumptions!$D$47)/Assumptions!$D$48)^(1/Assumptions!$D$7)-1,-1)</f>
        <v/>
      </c>
      <c r="I12" s="88">
        <f>IFERROR(((Assumptions!$D$7*(OpEx_CapEx!$E$9*((1+Assumptions!$D$20/2)^Assumptions!$D$7+1)/2-Assumptions!$D$47*0.105-Assumptions!$D$77*Assumptions!$D$57)+OpEx_CapEx!$E$9*(1+Assumptions!$D$20/2)^Assumptions!$D$7*(1+Assumptions!$D$20)/0.08*(1-0.03)-Assumptions!$D$47)/Assumptions!$D$48)^(1/Assumptions!$D$7)-1,-1)</f>
        <v/>
      </c>
    </row>
    <row r="13">
      <c r="B13" s="87" t="n">
        <v>0.08500000000000001</v>
      </c>
      <c r="C13" s="88">
        <f>IFERROR(((Assumptions!$D$7*(OpEx_CapEx!$E$9*((1+Assumptions!$D$20/2)^Assumptions!$D$7+1)/2-Assumptions!$D$47*0.055-Assumptions!$D$77*Assumptions!$D$57)+OpEx_CapEx!$E$9*(1+Assumptions!$D$20/2)^Assumptions!$D$7*(1+Assumptions!$D$20)/0.085*(1-0.03)-Assumptions!$D$47)/Assumptions!$D$48)^(1/Assumptions!$D$7)-1,-1)</f>
        <v/>
      </c>
      <c r="D13" s="88">
        <f>IFERROR(((Assumptions!$D$7*(OpEx_CapEx!$E$9*((1+Assumptions!$D$20/2)^Assumptions!$D$7+1)/2-Assumptions!$D$47*0.065-Assumptions!$D$77*Assumptions!$D$57)+OpEx_CapEx!$E$9*(1+Assumptions!$D$20/2)^Assumptions!$D$7*(1+Assumptions!$D$20)/0.085*(1-0.03)-Assumptions!$D$47)/Assumptions!$D$48)^(1/Assumptions!$D$7)-1,-1)</f>
        <v/>
      </c>
      <c r="E13" s="88">
        <f>IFERROR(((Assumptions!$D$7*(OpEx_CapEx!$E$9*((1+Assumptions!$D$20/2)^Assumptions!$D$7+1)/2-Assumptions!$D$47*0.07-Assumptions!$D$77*Assumptions!$D$57)+OpEx_CapEx!$E$9*(1+Assumptions!$D$20/2)^Assumptions!$D$7*(1+Assumptions!$D$20)/0.085*(1-0.03)-Assumptions!$D$47)/Assumptions!$D$48)^(1/Assumptions!$D$7)-1,-1)</f>
        <v/>
      </c>
      <c r="F13" s="88">
        <f>IFERROR(((Assumptions!$D$7*(OpEx_CapEx!$E$9*((1+Assumptions!$D$20/2)^Assumptions!$D$7+1)/2-Assumptions!$D$47*0.075-Assumptions!$D$77*Assumptions!$D$57)+OpEx_CapEx!$E$9*(1+Assumptions!$D$20/2)^Assumptions!$D$7*(1+Assumptions!$D$20)/0.085*(1-0.03)-Assumptions!$D$47)/Assumptions!$D$48)^(1/Assumptions!$D$7)-1,-1)</f>
        <v/>
      </c>
      <c r="G13" s="88">
        <f>IFERROR(((Assumptions!$D$7*(OpEx_CapEx!$E$9*((1+Assumptions!$D$20/2)^Assumptions!$D$7+1)/2-Assumptions!$D$47*0.085-Assumptions!$D$77*Assumptions!$D$57)+OpEx_CapEx!$E$9*(1+Assumptions!$D$20/2)^Assumptions!$D$7*(1+Assumptions!$D$20)/0.085*(1-0.03)-Assumptions!$D$47)/Assumptions!$D$48)^(1/Assumptions!$D$7)-1,-1)</f>
        <v/>
      </c>
      <c r="H13" s="88">
        <f>IFERROR(((Assumptions!$D$7*(OpEx_CapEx!$E$9*((1+Assumptions!$D$20/2)^Assumptions!$D$7+1)/2-Assumptions!$D$47*0.095-Assumptions!$D$77*Assumptions!$D$57)+OpEx_CapEx!$E$9*(1+Assumptions!$D$20/2)^Assumptions!$D$7*(1+Assumptions!$D$20)/0.085*(1-0.03)-Assumptions!$D$47)/Assumptions!$D$48)^(1/Assumptions!$D$7)-1,-1)</f>
        <v/>
      </c>
      <c r="I13" s="88">
        <f>IFERROR(((Assumptions!$D$7*(OpEx_CapEx!$E$9*((1+Assumptions!$D$20/2)^Assumptions!$D$7+1)/2-Assumptions!$D$47*0.105-Assumptions!$D$77*Assumptions!$D$57)+OpEx_CapEx!$E$9*(1+Assumptions!$D$20/2)^Assumptions!$D$7*(1+Assumptions!$D$20)/0.085*(1-0.03)-Assumptions!$D$47)/Assumptions!$D$48)^(1/Assumptions!$D$7)-1,-1)</f>
        <v/>
      </c>
    </row>
    <row r="14">
      <c r="B14" s="87" t="n">
        <v>0.09</v>
      </c>
      <c r="C14" s="88">
        <f>IFERROR(((Assumptions!$D$7*(OpEx_CapEx!$E$9*((1+Assumptions!$D$20/2)^Assumptions!$D$7+1)/2-Assumptions!$D$47*0.055-Assumptions!$D$77*Assumptions!$D$57)+OpEx_CapEx!$E$9*(1+Assumptions!$D$20/2)^Assumptions!$D$7*(1+Assumptions!$D$20)/0.09*(1-0.03)-Assumptions!$D$47)/Assumptions!$D$48)^(1/Assumptions!$D$7)-1,-1)</f>
        <v/>
      </c>
      <c r="D14" s="88">
        <f>IFERROR(((Assumptions!$D$7*(OpEx_CapEx!$E$9*((1+Assumptions!$D$20/2)^Assumptions!$D$7+1)/2-Assumptions!$D$47*0.065-Assumptions!$D$77*Assumptions!$D$57)+OpEx_CapEx!$E$9*(1+Assumptions!$D$20/2)^Assumptions!$D$7*(1+Assumptions!$D$20)/0.09*(1-0.03)-Assumptions!$D$47)/Assumptions!$D$48)^(1/Assumptions!$D$7)-1,-1)</f>
        <v/>
      </c>
      <c r="E14" s="88">
        <f>IFERROR(((Assumptions!$D$7*(OpEx_CapEx!$E$9*((1+Assumptions!$D$20/2)^Assumptions!$D$7+1)/2-Assumptions!$D$47*0.07-Assumptions!$D$77*Assumptions!$D$57)+OpEx_CapEx!$E$9*(1+Assumptions!$D$20/2)^Assumptions!$D$7*(1+Assumptions!$D$20)/0.09*(1-0.03)-Assumptions!$D$47)/Assumptions!$D$48)^(1/Assumptions!$D$7)-1,-1)</f>
        <v/>
      </c>
      <c r="F14" s="88">
        <f>IFERROR(((Assumptions!$D$7*(OpEx_CapEx!$E$9*((1+Assumptions!$D$20/2)^Assumptions!$D$7+1)/2-Assumptions!$D$47*0.075-Assumptions!$D$77*Assumptions!$D$57)+OpEx_CapEx!$E$9*(1+Assumptions!$D$20/2)^Assumptions!$D$7*(1+Assumptions!$D$20)/0.09*(1-0.03)-Assumptions!$D$47)/Assumptions!$D$48)^(1/Assumptions!$D$7)-1,-1)</f>
        <v/>
      </c>
      <c r="G14" s="88">
        <f>IFERROR(((Assumptions!$D$7*(OpEx_CapEx!$E$9*((1+Assumptions!$D$20/2)^Assumptions!$D$7+1)/2-Assumptions!$D$47*0.085-Assumptions!$D$77*Assumptions!$D$57)+OpEx_CapEx!$E$9*(1+Assumptions!$D$20/2)^Assumptions!$D$7*(1+Assumptions!$D$20)/0.09*(1-0.03)-Assumptions!$D$47)/Assumptions!$D$48)^(1/Assumptions!$D$7)-1,-1)</f>
        <v/>
      </c>
      <c r="H14" s="88">
        <f>IFERROR(((Assumptions!$D$7*(OpEx_CapEx!$E$9*((1+Assumptions!$D$20/2)^Assumptions!$D$7+1)/2-Assumptions!$D$47*0.095-Assumptions!$D$77*Assumptions!$D$57)+OpEx_CapEx!$E$9*(1+Assumptions!$D$20/2)^Assumptions!$D$7*(1+Assumptions!$D$20)/0.09*(1-0.03)-Assumptions!$D$47)/Assumptions!$D$48)^(1/Assumptions!$D$7)-1,-1)</f>
        <v/>
      </c>
      <c r="I14" s="88">
        <f>IFERROR(((Assumptions!$D$7*(OpEx_CapEx!$E$9*((1+Assumptions!$D$20/2)^Assumptions!$D$7+1)/2-Assumptions!$D$47*0.105-Assumptions!$D$77*Assumptions!$D$57)+OpEx_CapEx!$E$9*(1+Assumptions!$D$20/2)^Assumptions!$D$7*(1+Assumptions!$D$20)/0.09*(1-0.03)-Assumptions!$D$47)/Assumptions!$D$48)^(1/Assumptions!$D$7)-1,-1)</f>
        <v/>
      </c>
    </row>
    <row r="18">
      <c r="B18" s="53" t="inlineStr">
        <is>
          <t>MATRIX 2: Y1 DSCR  —  rows: Vacancy;  cols: Cost of Debt</t>
        </is>
      </c>
    </row>
    <row r="20">
      <c r="C20" s="86" t="n">
        <v>0.055</v>
      </c>
      <c r="D20" s="86" t="n">
        <v>0.065</v>
      </c>
      <c r="E20" s="86" t="n">
        <v>0.07000000000000001</v>
      </c>
      <c r="F20" s="86" t="n">
        <v>0.075</v>
      </c>
      <c r="G20" s="86" t="n">
        <v>0.08500000000000001</v>
      </c>
      <c r="H20" s="86" t="n">
        <v>0.095</v>
      </c>
      <c r="I20" s="86" t="n">
        <v>0.105</v>
      </c>
    </row>
    <row r="21">
      <c r="B21" s="87" t="n">
        <v>0</v>
      </c>
      <c r="C21" s="75">
        <f>IFERROR((Assumptions!$D$19*(1-0.0)*(1-Assumptions!$D$25))/(Assumptions!$D$47*0.055),0)</f>
        <v/>
      </c>
      <c r="D21" s="75">
        <f>IFERROR((Assumptions!$D$19*(1-0.0)*(1-Assumptions!$D$25))/(Assumptions!$D$47*0.065),0)</f>
        <v/>
      </c>
      <c r="E21" s="75">
        <f>IFERROR((Assumptions!$D$19*(1-0.0)*(1-Assumptions!$D$25))/(Assumptions!$D$47*0.07),0)</f>
        <v/>
      </c>
      <c r="F21" s="75">
        <f>IFERROR((Assumptions!$D$19*(1-0.0)*(1-Assumptions!$D$25))/(Assumptions!$D$47*0.075),0)</f>
        <v/>
      </c>
      <c r="G21" s="75">
        <f>IFERROR((Assumptions!$D$19*(1-0.0)*(1-Assumptions!$D$25))/(Assumptions!$D$47*0.085),0)</f>
        <v/>
      </c>
      <c r="H21" s="75">
        <f>IFERROR((Assumptions!$D$19*(1-0.0)*(1-Assumptions!$D$25))/(Assumptions!$D$47*0.095),0)</f>
        <v/>
      </c>
      <c r="I21" s="75">
        <f>IFERROR((Assumptions!$D$19*(1-0.0)*(1-Assumptions!$D$25))/(Assumptions!$D$47*0.105),0)</f>
        <v/>
      </c>
    </row>
    <row r="22">
      <c r="B22" s="87" t="n">
        <v>0.03</v>
      </c>
      <c r="C22" s="75">
        <f>IFERROR((Assumptions!$D$19*(1-0.03)*(1-Assumptions!$D$25))/(Assumptions!$D$47*0.055),0)</f>
        <v/>
      </c>
      <c r="D22" s="75">
        <f>IFERROR((Assumptions!$D$19*(1-0.03)*(1-Assumptions!$D$25))/(Assumptions!$D$47*0.065),0)</f>
        <v/>
      </c>
      <c r="E22" s="75">
        <f>IFERROR((Assumptions!$D$19*(1-0.03)*(1-Assumptions!$D$25))/(Assumptions!$D$47*0.07),0)</f>
        <v/>
      </c>
      <c r="F22" s="75">
        <f>IFERROR((Assumptions!$D$19*(1-0.03)*(1-Assumptions!$D$25))/(Assumptions!$D$47*0.075),0)</f>
        <v/>
      </c>
      <c r="G22" s="75">
        <f>IFERROR((Assumptions!$D$19*(1-0.03)*(1-Assumptions!$D$25))/(Assumptions!$D$47*0.085),0)</f>
        <v/>
      </c>
      <c r="H22" s="75">
        <f>IFERROR((Assumptions!$D$19*(1-0.03)*(1-Assumptions!$D$25))/(Assumptions!$D$47*0.095),0)</f>
        <v/>
      </c>
      <c r="I22" s="75">
        <f>IFERROR((Assumptions!$D$19*(1-0.03)*(1-Assumptions!$D$25))/(Assumptions!$D$47*0.105),0)</f>
        <v/>
      </c>
    </row>
    <row r="23">
      <c r="B23" s="87" t="n">
        <v>0.05</v>
      </c>
      <c r="C23" s="75">
        <f>IFERROR((Assumptions!$D$19*(1-0.05)*(1-Assumptions!$D$25))/(Assumptions!$D$47*0.055),0)</f>
        <v/>
      </c>
      <c r="D23" s="75">
        <f>IFERROR((Assumptions!$D$19*(1-0.05)*(1-Assumptions!$D$25))/(Assumptions!$D$47*0.065),0)</f>
        <v/>
      </c>
      <c r="E23" s="75">
        <f>IFERROR((Assumptions!$D$19*(1-0.05)*(1-Assumptions!$D$25))/(Assumptions!$D$47*0.07),0)</f>
        <v/>
      </c>
      <c r="F23" s="75">
        <f>IFERROR((Assumptions!$D$19*(1-0.05)*(1-Assumptions!$D$25))/(Assumptions!$D$47*0.075),0)</f>
        <v/>
      </c>
      <c r="G23" s="75">
        <f>IFERROR((Assumptions!$D$19*(1-0.05)*(1-Assumptions!$D$25))/(Assumptions!$D$47*0.085),0)</f>
        <v/>
      </c>
      <c r="H23" s="75">
        <f>IFERROR((Assumptions!$D$19*(1-0.05)*(1-Assumptions!$D$25))/(Assumptions!$D$47*0.095),0)</f>
        <v/>
      </c>
      <c r="I23" s="75">
        <f>IFERROR((Assumptions!$D$19*(1-0.05)*(1-Assumptions!$D$25))/(Assumptions!$D$47*0.105),0)</f>
        <v/>
      </c>
    </row>
    <row r="24">
      <c r="B24" s="87" t="n">
        <v>0.08</v>
      </c>
      <c r="C24" s="75">
        <f>IFERROR((Assumptions!$D$19*(1-0.08)*(1-Assumptions!$D$25))/(Assumptions!$D$47*0.055),0)</f>
        <v/>
      </c>
      <c r="D24" s="75">
        <f>IFERROR((Assumptions!$D$19*(1-0.08)*(1-Assumptions!$D$25))/(Assumptions!$D$47*0.065),0)</f>
        <v/>
      </c>
      <c r="E24" s="75">
        <f>IFERROR((Assumptions!$D$19*(1-0.08)*(1-Assumptions!$D$25))/(Assumptions!$D$47*0.07),0)</f>
        <v/>
      </c>
      <c r="F24" s="75">
        <f>IFERROR((Assumptions!$D$19*(1-0.08)*(1-Assumptions!$D$25))/(Assumptions!$D$47*0.075),0)</f>
        <v/>
      </c>
      <c r="G24" s="75">
        <f>IFERROR((Assumptions!$D$19*(1-0.08)*(1-Assumptions!$D$25))/(Assumptions!$D$47*0.085),0)</f>
        <v/>
      </c>
      <c r="H24" s="75">
        <f>IFERROR((Assumptions!$D$19*(1-0.08)*(1-Assumptions!$D$25))/(Assumptions!$D$47*0.095),0)</f>
        <v/>
      </c>
      <c r="I24" s="75">
        <f>IFERROR((Assumptions!$D$19*(1-0.08)*(1-Assumptions!$D$25))/(Assumptions!$D$47*0.105),0)</f>
        <v/>
      </c>
    </row>
    <row r="25">
      <c r="B25" s="87" t="n">
        <v>0.12</v>
      </c>
      <c r="C25" s="75">
        <f>IFERROR((Assumptions!$D$19*(1-0.12)*(1-Assumptions!$D$25))/(Assumptions!$D$47*0.055),0)</f>
        <v/>
      </c>
      <c r="D25" s="75">
        <f>IFERROR((Assumptions!$D$19*(1-0.12)*(1-Assumptions!$D$25))/(Assumptions!$D$47*0.065),0)</f>
        <v/>
      </c>
      <c r="E25" s="75">
        <f>IFERROR((Assumptions!$D$19*(1-0.12)*(1-Assumptions!$D$25))/(Assumptions!$D$47*0.07),0)</f>
        <v/>
      </c>
      <c r="F25" s="75">
        <f>IFERROR((Assumptions!$D$19*(1-0.12)*(1-Assumptions!$D$25))/(Assumptions!$D$47*0.075),0)</f>
        <v/>
      </c>
      <c r="G25" s="75">
        <f>IFERROR((Assumptions!$D$19*(1-0.12)*(1-Assumptions!$D$25))/(Assumptions!$D$47*0.085),0)</f>
        <v/>
      </c>
      <c r="H25" s="75">
        <f>IFERROR((Assumptions!$D$19*(1-0.12)*(1-Assumptions!$D$25))/(Assumptions!$D$47*0.095),0)</f>
        <v/>
      </c>
      <c r="I25" s="75">
        <f>IFERROR((Assumptions!$D$19*(1-0.12)*(1-Assumptions!$D$25))/(Assumptions!$D$47*0.105),0)</f>
        <v/>
      </c>
    </row>
    <row r="26">
      <c r="B26" s="87" t="n">
        <v>0.18</v>
      </c>
      <c r="C26" s="75">
        <f>IFERROR((Assumptions!$D$19*(1-0.18)*(1-Assumptions!$D$25))/(Assumptions!$D$47*0.055),0)</f>
        <v/>
      </c>
      <c r="D26" s="75">
        <f>IFERROR((Assumptions!$D$19*(1-0.18)*(1-Assumptions!$D$25))/(Assumptions!$D$47*0.065),0)</f>
        <v/>
      </c>
      <c r="E26" s="75">
        <f>IFERROR((Assumptions!$D$19*(1-0.18)*(1-Assumptions!$D$25))/(Assumptions!$D$47*0.07),0)</f>
        <v/>
      </c>
      <c r="F26" s="75">
        <f>IFERROR((Assumptions!$D$19*(1-0.18)*(1-Assumptions!$D$25))/(Assumptions!$D$47*0.075),0)</f>
        <v/>
      </c>
      <c r="G26" s="75">
        <f>IFERROR((Assumptions!$D$19*(1-0.18)*(1-Assumptions!$D$25))/(Assumptions!$D$47*0.085),0)</f>
        <v/>
      </c>
      <c r="H26" s="75">
        <f>IFERROR((Assumptions!$D$19*(1-0.18)*(1-Assumptions!$D$25))/(Assumptions!$D$47*0.095),0)</f>
        <v/>
      </c>
      <c r="I26" s="75">
        <f>IFERROR((Assumptions!$D$19*(1-0.18)*(1-Assumptions!$D$25))/(Assumptions!$D$47*0.105),0)</f>
        <v/>
      </c>
    </row>
    <row r="27">
      <c r="B27" s="87" t="n">
        <v>0.25</v>
      </c>
      <c r="C27" s="75">
        <f>IFERROR((Assumptions!$D$19*(1-0.25)*(1-Assumptions!$D$25))/(Assumptions!$D$47*0.055),0)</f>
        <v/>
      </c>
      <c r="D27" s="75">
        <f>IFERROR((Assumptions!$D$19*(1-0.25)*(1-Assumptions!$D$25))/(Assumptions!$D$47*0.065),0)</f>
        <v/>
      </c>
      <c r="E27" s="75">
        <f>IFERROR((Assumptions!$D$19*(1-0.25)*(1-Assumptions!$D$25))/(Assumptions!$D$47*0.07),0)</f>
        <v/>
      </c>
      <c r="F27" s="75">
        <f>IFERROR((Assumptions!$D$19*(1-0.25)*(1-Assumptions!$D$25))/(Assumptions!$D$47*0.075),0)</f>
        <v/>
      </c>
      <c r="G27" s="75">
        <f>IFERROR((Assumptions!$D$19*(1-0.25)*(1-Assumptions!$D$25))/(Assumptions!$D$47*0.085),0)</f>
        <v/>
      </c>
      <c r="H27" s="75">
        <f>IFERROR((Assumptions!$D$19*(1-0.25)*(1-Assumptions!$D$25))/(Assumptions!$D$47*0.095),0)</f>
        <v/>
      </c>
      <c r="I27" s="75">
        <f>IFERROR((Assumptions!$D$19*(1-0.25)*(1-Assumptions!$D$25))/(Assumptions!$D$47*0.105),0)</f>
        <v/>
      </c>
    </row>
    <row r="28"/>
    <row r="29"/>
    <row r="30">
      <c r="B30" s="53" t="inlineStr">
        <is>
          <t>MATRIX 3: NPV (Project, SAR M) — rows: Purchase price;  cols: Exit cap</t>
        </is>
      </c>
    </row>
    <row r="32">
      <c r="C32" s="86" t="n">
        <v>0.065</v>
      </c>
      <c r="D32" s="86" t="n">
        <v>0.07000000000000001</v>
      </c>
      <c r="E32" s="86" t="n">
        <v>0.075</v>
      </c>
      <c r="F32" s="86" t="n">
        <v>0.08</v>
      </c>
      <c r="G32" s="86" t="n">
        <v>0.08500000000000001</v>
      </c>
      <c r="H32" s="86" t="n">
        <v>0.09</v>
      </c>
      <c r="I32" s="86" t="n">
        <v>0.1</v>
      </c>
    </row>
    <row r="33">
      <c r="B33" s="89" t="n">
        <v>150000000</v>
      </c>
      <c r="C33" s="90">
        <f>(-150000000.0*(1+Assumptions!$D$15)+(OpEx_CapEx!$E$9-OpEx_CapEx!$E$21+Tax!$E$12)*((1-(1+Assumptions!$D$68)^-Assumptions!$D$7)/Assumptions!$D$68)+(OpEx_CapEx!$E$9*(1+Assumptions!$D$20/2)^Assumptions!$D$7*(1+Assumptions!$D$20)/0.065*(1-Assumptions!$D$52-Assumptions!$D$53-Assumptions!$D$54))/(1+Assumptions!$D$68)^Assumptions!$D$7)/1e6</f>
        <v/>
      </c>
      <c r="D33" s="90">
        <f>(-150000000.0*(1+Assumptions!$D$15)+(OpEx_CapEx!$E$9-OpEx_CapEx!$E$21+Tax!$E$12)*((1-(1+Assumptions!$D$68)^-Assumptions!$D$7)/Assumptions!$D$68)+(OpEx_CapEx!$E$9*(1+Assumptions!$D$20/2)^Assumptions!$D$7*(1+Assumptions!$D$20)/0.07*(1-Assumptions!$D$52-Assumptions!$D$53-Assumptions!$D$54))/(1+Assumptions!$D$68)^Assumptions!$D$7)/1e6</f>
        <v/>
      </c>
      <c r="E33" s="90">
        <f>(-150000000.0*(1+Assumptions!$D$15)+(OpEx_CapEx!$E$9-OpEx_CapEx!$E$21+Tax!$E$12)*((1-(1+Assumptions!$D$68)^-Assumptions!$D$7)/Assumptions!$D$68)+(OpEx_CapEx!$E$9*(1+Assumptions!$D$20/2)^Assumptions!$D$7*(1+Assumptions!$D$20)/0.075*(1-Assumptions!$D$52-Assumptions!$D$53-Assumptions!$D$54))/(1+Assumptions!$D$68)^Assumptions!$D$7)/1e6</f>
        <v/>
      </c>
      <c r="F33" s="90">
        <f>(-150000000.0*(1+Assumptions!$D$15)+(OpEx_CapEx!$E$9-OpEx_CapEx!$E$21+Tax!$E$12)*((1-(1+Assumptions!$D$68)^-Assumptions!$D$7)/Assumptions!$D$68)+(OpEx_CapEx!$E$9*(1+Assumptions!$D$20/2)^Assumptions!$D$7*(1+Assumptions!$D$20)/0.08*(1-Assumptions!$D$52-Assumptions!$D$53-Assumptions!$D$54))/(1+Assumptions!$D$68)^Assumptions!$D$7)/1e6</f>
        <v/>
      </c>
      <c r="G33" s="90">
        <f>(-150000000.0*(1+Assumptions!$D$15)+(OpEx_CapEx!$E$9-OpEx_CapEx!$E$21+Tax!$E$12)*((1-(1+Assumptions!$D$68)^-Assumptions!$D$7)/Assumptions!$D$68)+(OpEx_CapEx!$E$9*(1+Assumptions!$D$20/2)^Assumptions!$D$7*(1+Assumptions!$D$20)/0.085*(1-Assumptions!$D$52-Assumptions!$D$53-Assumptions!$D$54))/(1+Assumptions!$D$68)^Assumptions!$D$7)/1e6</f>
        <v/>
      </c>
      <c r="H33" s="90">
        <f>(-150000000.0*(1+Assumptions!$D$15)+(OpEx_CapEx!$E$9-OpEx_CapEx!$E$21+Tax!$E$12)*((1-(1+Assumptions!$D$68)^-Assumptions!$D$7)/Assumptions!$D$68)+(OpEx_CapEx!$E$9*(1+Assumptions!$D$20/2)^Assumptions!$D$7*(1+Assumptions!$D$20)/0.09*(1-Assumptions!$D$52-Assumptions!$D$53-Assumptions!$D$54))/(1+Assumptions!$D$68)^Assumptions!$D$7)/1e6</f>
        <v/>
      </c>
      <c r="I33" s="90">
        <f>(-150000000.0*(1+Assumptions!$D$15)+(OpEx_CapEx!$E$9-OpEx_CapEx!$E$21+Tax!$E$12)*((1-(1+Assumptions!$D$68)^-Assumptions!$D$7)/Assumptions!$D$68)+(OpEx_CapEx!$E$9*(1+Assumptions!$D$20/2)^Assumptions!$D$7*(1+Assumptions!$D$20)/0.1*(1-Assumptions!$D$52-Assumptions!$D$53-Assumptions!$D$54))/(1+Assumptions!$D$68)^Assumptions!$D$7)/1e6</f>
        <v/>
      </c>
    </row>
    <row r="34">
      <c r="B34" s="89" t="n">
        <v>165000000</v>
      </c>
      <c r="C34" s="90">
        <f>(-165000000.0*(1+Assumptions!$D$15)+(OpEx_CapEx!$E$9-OpEx_CapEx!$E$21+Tax!$E$12)*((1-(1+Assumptions!$D$68)^-Assumptions!$D$7)/Assumptions!$D$68)+(OpEx_CapEx!$E$9*(1+Assumptions!$D$20/2)^Assumptions!$D$7*(1+Assumptions!$D$20)/0.065*(1-Assumptions!$D$52-Assumptions!$D$53-Assumptions!$D$54))/(1+Assumptions!$D$68)^Assumptions!$D$7)/1e6</f>
        <v/>
      </c>
      <c r="D34" s="90">
        <f>(-165000000.0*(1+Assumptions!$D$15)+(OpEx_CapEx!$E$9-OpEx_CapEx!$E$21+Tax!$E$12)*((1-(1+Assumptions!$D$68)^-Assumptions!$D$7)/Assumptions!$D$68)+(OpEx_CapEx!$E$9*(1+Assumptions!$D$20/2)^Assumptions!$D$7*(1+Assumptions!$D$20)/0.07*(1-Assumptions!$D$52-Assumptions!$D$53-Assumptions!$D$54))/(1+Assumptions!$D$68)^Assumptions!$D$7)/1e6</f>
        <v/>
      </c>
      <c r="E34" s="90">
        <f>(-165000000.0*(1+Assumptions!$D$15)+(OpEx_CapEx!$E$9-OpEx_CapEx!$E$21+Tax!$E$12)*((1-(1+Assumptions!$D$68)^-Assumptions!$D$7)/Assumptions!$D$68)+(OpEx_CapEx!$E$9*(1+Assumptions!$D$20/2)^Assumptions!$D$7*(1+Assumptions!$D$20)/0.075*(1-Assumptions!$D$52-Assumptions!$D$53-Assumptions!$D$54))/(1+Assumptions!$D$68)^Assumptions!$D$7)/1e6</f>
        <v/>
      </c>
      <c r="F34" s="90">
        <f>(-165000000.0*(1+Assumptions!$D$15)+(OpEx_CapEx!$E$9-OpEx_CapEx!$E$21+Tax!$E$12)*((1-(1+Assumptions!$D$68)^-Assumptions!$D$7)/Assumptions!$D$68)+(OpEx_CapEx!$E$9*(1+Assumptions!$D$20/2)^Assumptions!$D$7*(1+Assumptions!$D$20)/0.08*(1-Assumptions!$D$52-Assumptions!$D$53-Assumptions!$D$54))/(1+Assumptions!$D$68)^Assumptions!$D$7)/1e6</f>
        <v/>
      </c>
      <c r="G34" s="90">
        <f>(-165000000.0*(1+Assumptions!$D$15)+(OpEx_CapEx!$E$9-OpEx_CapEx!$E$21+Tax!$E$12)*((1-(1+Assumptions!$D$68)^-Assumptions!$D$7)/Assumptions!$D$68)+(OpEx_CapEx!$E$9*(1+Assumptions!$D$20/2)^Assumptions!$D$7*(1+Assumptions!$D$20)/0.085*(1-Assumptions!$D$52-Assumptions!$D$53-Assumptions!$D$54))/(1+Assumptions!$D$68)^Assumptions!$D$7)/1e6</f>
        <v/>
      </c>
      <c r="H34" s="90">
        <f>(-165000000.0*(1+Assumptions!$D$15)+(OpEx_CapEx!$E$9-OpEx_CapEx!$E$21+Tax!$E$12)*((1-(1+Assumptions!$D$68)^-Assumptions!$D$7)/Assumptions!$D$68)+(OpEx_CapEx!$E$9*(1+Assumptions!$D$20/2)^Assumptions!$D$7*(1+Assumptions!$D$20)/0.09*(1-Assumptions!$D$52-Assumptions!$D$53-Assumptions!$D$54))/(1+Assumptions!$D$68)^Assumptions!$D$7)/1e6</f>
        <v/>
      </c>
      <c r="I34" s="90">
        <f>(-165000000.0*(1+Assumptions!$D$15)+(OpEx_CapEx!$E$9-OpEx_CapEx!$E$21+Tax!$E$12)*((1-(1+Assumptions!$D$68)^-Assumptions!$D$7)/Assumptions!$D$68)+(OpEx_CapEx!$E$9*(1+Assumptions!$D$20/2)^Assumptions!$D$7*(1+Assumptions!$D$20)/0.1*(1-Assumptions!$D$52-Assumptions!$D$53-Assumptions!$D$54))/(1+Assumptions!$D$68)^Assumptions!$D$7)/1e6</f>
        <v/>
      </c>
    </row>
    <row r="35">
      <c r="B35" s="89" t="n">
        <v>175000000</v>
      </c>
      <c r="C35" s="90">
        <f>(-175000000.0*(1+Assumptions!$D$15)+(OpEx_CapEx!$E$9-OpEx_CapEx!$E$21+Tax!$E$12)*((1-(1+Assumptions!$D$68)^-Assumptions!$D$7)/Assumptions!$D$68)+(OpEx_CapEx!$E$9*(1+Assumptions!$D$20/2)^Assumptions!$D$7*(1+Assumptions!$D$20)/0.065*(1-Assumptions!$D$52-Assumptions!$D$53-Assumptions!$D$54))/(1+Assumptions!$D$68)^Assumptions!$D$7)/1e6</f>
        <v/>
      </c>
      <c r="D35" s="90">
        <f>(-175000000.0*(1+Assumptions!$D$15)+(OpEx_CapEx!$E$9-OpEx_CapEx!$E$21+Tax!$E$12)*((1-(1+Assumptions!$D$68)^-Assumptions!$D$7)/Assumptions!$D$68)+(OpEx_CapEx!$E$9*(1+Assumptions!$D$20/2)^Assumptions!$D$7*(1+Assumptions!$D$20)/0.07*(1-Assumptions!$D$52-Assumptions!$D$53-Assumptions!$D$54))/(1+Assumptions!$D$68)^Assumptions!$D$7)/1e6</f>
        <v/>
      </c>
      <c r="E35" s="90">
        <f>(-175000000.0*(1+Assumptions!$D$15)+(OpEx_CapEx!$E$9-OpEx_CapEx!$E$21+Tax!$E$12)*((1-(1+Assumptions!$D$68)^-Assumptions!$D$7)/Assumptions!$D$68)+(OpEx_CapEx!$E$9*(1+Assumptions!$D$20/2)^Assumptions!$D$7*(1+Assumptions!$D$20)/0.075*(1-Assumptions!$D$52-Assumptions!$D$53-Assumptions!$D$54))/(1+Assumptions!$D$68)^Assumptions!$D$7)/1e6</f>
        <v/>
      </c>
      <c r="F35" s="90">
        <f>(-175000000.0*(1+Assumptions!$D$15)+(OpEx_CapEx!$E$9-OpEx_CapEx!$E$21+Tax!$E$12)*((1-(1+Assumptions!$D$68)^-Assumptions!$D$7)/Assumptions!$D$68)+(OpEx_CapEx!$E$9*(1+Assumptions!$D$20/2)^Assumptions!$D$7*(1+Assumptions!$D$20)/0.08*(1-Assumptions!$D$52-Assumptions!$D$53-Assumptions!$D$54))/(1+Assumptions!$D$68)^Assumptions!$D$7)/1e6</f>
        <v/>
      </c>
      <c r="G35" s="90">
        <f>(-175000000.0*(1+Assumptions!$D$15)+(OpEx_CapEx!$E$9-OpEx_CapEx!$E$21+Tax!$E$12)*((1-(1+Assumptions!$D$68)^-Assumptions!$D$7)/Assumptions!$D$68)+(OpEx_CapEx!$E$9*(1+Assumptions!$D$20/2)^Assumptions!$D$7*(1+Assumptions!$D$20)/0.085*(1-Assumptions!$D$52-Assumptions!$D$53-Assumptions!$D$54))/(1+Assumptions!$D$68)^Assumptions!$D$7)/1e6</f>
        <v/>
      </c>
      <c r="H35" s="90">
        <f>(-175000000.0*(1+Assumptions!$D$15)+(OpEx_CapEx!$E$9-OpEx_CapEx!$E$21+Tax!$E$12)*((1-(1+Assumptions!$D$68)^-Assumptions!$D$7)/Assumptions!$D$68)+(OpEx_CapEx!$E$9*(1+Assumptions!$D$20/2)^Assumptions!$D$7*(1+Assumptions!$D$20)/0.09*(1-Assumptions!$D$52-Assumptions!$D$53-Assumptions!$D$54))/(1+Assumptions!$D$68)^Assumptions!$D$7)/1e6</f>
        <v/>
      </c>
      <c r="I35" s="90">
        <f>(-175000000.0*(1+Assumptions!$D$15)+(OpEx_CapEx!$E$9-OpEx_CapEx!$E$21+Tax!$E$12)*((1-(1+Assumptions!$D$68)^-Assumptions!$D$7)/Assumptions!$D$68)+(OpEx_CapEx!$E$9*(1+Assumptions!$D$20/2)^Assumptions!$D$7*(1+Assumptions!$D$20)/0.1*(1-Assumptions!$D$52-Assumptions!$D$53-Assumptions!$D$54))/(1+Assumptions!$D$68)^Assumptions!$D$7)/1e6</f>
        <v/>
      </c>
    </row>
    <row r="36">
      <c r="B36" s="89" t="n">
        <v>185000000</v>
      </c>
      <c r="C36" s="90">
        <f>(-185000000.0*(1+Assumptions!$D$15)+(OpEx_CapEx!$E$9-OpEx_CapEx!$E$21+Tax!$E$12)*((1-(1+Assumptions!$D$68)^-Assumptions!$D$7)/Assumptions!$D$68)+(OpEx_CapEx!$E$9*(1+Assumptions!$D$20/2)^Assumptions!$D$7*(1+Assumptions!$D$20)/0.065*(1-Assumptions!$D$52-Assumptions!$D$53-Assumptions!$D$54))/(1+Assumptions!$D$68)^Assumptions!$D$7)/1e6</f>
        <v/>
      </c>
      <c r="D36" s="90">
        <f>(-185000000.0*(1+Assumptions!$D$15)+(OpEx_CapEx!$E$9-OpEx_CapEx!$E$21+Tax!$E$12)*((1-(1+Assumptions!$D$68)^-Assumptions!$D$7)/Assumptions!$D$68)+(OpEx_CapEx!$E$9*(1+Assumptions!$D$20/2)^Assumptions!$D$7*(1+Assumptions!$D$20)/0.07*(1-Assumptions!$D$52-Assumptions!$D$53-Assumptions!$D$54))/(1+Assumptions!$D$68)^Assumptions!$D$7)/1e6</f>
        <v/>
      </c>
      <c r="E36" s="90">
        <f>(-185000000.0*(1+Assumptions!$D$15)+(OpEx_CapEx!$E$9-OpEx_CapEx!$E$21+Tax!$E$12)*((1-(1+Assumptions!$D$68)^-Assumptions!$D$7)/Assumptions!$D$68)+(OpEx_CapEx!$E$9*(1+Assumptions!$D$20/2)^Assumptions!$D$7*(1+Assumptions!$D$20)/0.075*(1-Assumptions!$D$52-Assumptions!$D$53-Assumptions!$D$54))/(1+Assumptions!$D$68)^Assumptions!$D$7)/1e6</f>
        <v/>
      </c>
      <c r="F36" s="90">
        <f>(-185000000.0*(1+Assumptions!$D$15)+(OpEx_CapEx!$E$9-OpEx_CapEx!$E$21+Tax!$E$12)*((1-(1+Assumptions!$D$68)^-Assumptions!$D$7)/Assumptions!$D$68)+(OpEx_CapEx!$E$9*(1+Assumptions!$D$20/2)^Assumptions!$D$7*(1+Assumptions!$D$20)/0.08*(1-Assumptions!$D$52-Assumptions!$D$53-Assumptions!$D$54))/(1+Assumptions!$D$68)^Assumptions!$D$7)/1e6</f>
        <v/>
      </c>
      <c r="G36" s="90">
        <f>(-185000000.0*(1+Assumptions!$D$15)+(OpEx_CapEx!$E$9-OpEx_CapEx!$E$21+Tax!$E$12)*((1-(1+Assumptions!$D$68)^-Assumptions!$D$7)/Assumptions!$D$68)+(OpEx_CapEx!$E$9*(1+Assumptions!$D$20/2)^Assumptions!$D$7*(1+Assumptions!$D$20)/0.085*(1-Assumptions!$D$52-Assumptions!$D$53-Assumptions!$D$54))/(1+Assumptions!$D$68)^Assumptions!$D$7)/1e6</f>
        <v/>
      </c>
      <c r="H36" s="90">
        <f>(-185000000.0*(1+Assumptions!$D$15)+(OpEx_CapEx!$E$9-OpEx_CapEx!$E$21+Tax!$E$12)*((1-(1+Assumptions!$D$68)^-Assumptions!$D$7)/Assumptions!$D$68)+(OpEx_CapEx!$E$9*(1+Assumptions!$D$20/2)^Assumptions!$D$7*(1+Assumptions!$D$20)/0.09*(1-Assumptions!$D$52-Assumptions!$D$53-Assumptions!$D$54))/(1+Assumptions!$D$68)^Assumptions!$D$7)/1e6</f>
        <v/>
      </c>
      <c r="I36" s="90">
        <f>(-185000000.0*(1+Assumptions!$D$15)+(OpEx_CapEx!$E$9-OpEx_CapEx!$E$21+Tax!$E$12)*((1-(1+Assumptions!$D$68)^-Assumptions!$D$7)/Assumptions!$D$68)+(OpEx_CapEx!$E$9*(1+Assumptions!$D$20/2)^Assumptions!$D$7*(1+Assumptions!$D$20)/0.1*(1-Assumptions!$D$52-Assumptions!$D$53-Assumptions!$D$54))/(1+Assumptions!$D$68)^Assumptions!$D$7)/1e6</f>
        <v/>
      </c>
    </row>
    <row r="37">
      <c r="B37" s="89" t="n">
        <v>200000000</v>
      </c>
      <c r="C37" s="90">
        <f>(-200000000.0*(1+Assumptions!$D$15)+(OpEx_CapEx!$E$9-OpEx_CapEx!$E$21+Tax!$E$12)*((1-(1+Assumptions!$D$68)^-Assumptions!$D$7)/Assumptions!$D$68)+(OpEx_CapEx!$E$9*(1+Assumptions!$D$20/2)^Assumptions!$D$7*(1+Assumptions!$D$20)/0.065*(1-Assumptions!$D$52-Assumptions!$D$53-Assumptions!$D$54))/(1+Assumptions!$D$68)^Assumptions!$D$7)/1e6</f>
        <v/>
      </c>
      <c r="D37" s="90">
        <f>(-200000000.0*(1+Assumptions!$D$15)+(OpEx_CapEx!$E$9-OpEx_CapEx!$E$21+Tax!$E$12)*((1-(1+Assumptions!$D$68)^-Assumptions!$D$7)/Assumptions!$D$68)+(OpEx_CapEx!$E$9*(1+Assumptions!$D$20/2)^Assumptions!$D$7*(1+Assumptions!$D$20)/0.07*(1-Assumptions!$D$52-Assumptions!$D$53-Assumptions!$D$54))/(1+Assumptions!$D$68)^Assumptions!$D$7)/1e6</f>
        <v/>
      </c>
      <c r="E37" s="90">
        <f>(-200000000.0*(1+Assumptions!$D$15)+(OpEx_CapEx!$E$9-OpEx_CapEx!$E$21+Tax!$E$12)*((1-(1+Assumptions!$D$68)^-Assumptions!$D$7)/Assumptions!$D$68)+(OpEx_CapEx!$E$9*(1+Assumptions!$D$20/2)^Assumptions!$D$7*(1+Assumptions!$D$20)/0.075*(1-Assumptions!$D$52-Assumptions!$D$53-Assumptions!$D$54))/(1+Assumptions!$D$68)^Assumptions!$D$7)/1e6</f>
        <v/>
      </c>
      <c r="F37" s="90">
        <f>(-200000000.0*(1+Assumptions!$D$15)+(OpEx_CapEx!$E$9-OpEx_CapEx!$E$21+Tax!$E$12)*((1-(1+Assumptions!$D$68)^-Assumptions!$D$7)/Assumptions!$D$68)+(OpEx_CapEx!$E$9*(1+Assumptions!$D$20/2)^Assumptions!$D$7*(1+Assumptions!$D$20)/0.08*(1-Assumptions!$D$52-Assumptions!$D$53-Assumptions!$D$54))/(1+Assumptions!$D$68)^Assumptions!$D$7)/1e6</f>
        <v/>
      </c>
      <c r="G37" s="90">
        <f>(-200000000.0*(1+Assumptions!$D$15)+(OpEx_CapEx!$E$9-OpEx_CapEx!$E$21+Tax!$E$12)*((1-(1+Assumptions!$D$68)^-Assumptions!$D$7)/Assumptions!$D$68)+(OpEx_CapEx!$E$9*(1+Assumptions!$D$20/2)^Assumptions!$D$7*(1+Assumptions!$D$20)/0.085*(1-Assumptions!$D$52-Assumptions!$D$53-Assumptions!$D$54))/(1+Assumptions!$D$68)^Assumptions!$D$7)/1e6</f>
        <v/>
      </c>
      <c r="H37" s="90">
        <f>(-200000000.0*(1+Assumptions!$D$15)+(OpEx_CapEx!$E$9-OpEx_CapEx!$E$21+Tax!$E$12)*((1-(1+Assumptions!$D$68)^-Assumptions!$D$7)/Assumptions!$D$68)+(OpEx_CapEx!$E$9*(1+Assumptions!$D$20/2)^Assumptions!$D$7*(1+Assumptions!$D$20)/0.09*(1-Assumptions!$D$52-Assumptions!$D$53-Assumptions!$D$54))/(1+Assumptions!$D$68)^Assumptions!$D$7)/1e6</f>
        <v/>
      </c>
      <c r="I37" s="90">
        <f>(-200000000.0*(1+Assumptions!$D$15)+(OpEx_CapEx!$E$9-OpEx_CapEx!$E$21+Tax!$E$12)*((1-(1+Assumptions!$D$68)^-Assumptions!$D$7)/Assumptions!$D$68)+(OpEx_CapEx!$E$9*(1+Assumptions!$D$20/2)^Assumptions!$D$7*(1+Assumptions!$D$20)/0.1*(1-Assumptions!$D$52-Assumptions!$D$53-Assumptions!$D$54))/(1+Assumptions!$D$68)^Assumptions!$D$7)/1e6</f>
        <v/>
      </c>
    </row>
    <row r="38">
      <c r="B38" s="89" t="n">
        <v>215000000</v>
      </c>
      <c r="C38" s="90">
        <f>(-215000000.0*(1+Assumptions!$D$15)+(OpEx_CapEx!$E$9-OpEx_CapEx!$E$21+Tax!$E$12)*((1-(1+Assumptions!$D$68)^-Assumptions!$D$7)/Assumptions!$D$68)+(OpEx_CapEx!$E$9*(1+Assumptions!$D$20/2)^Assumptions!$D$7*(1+Assumptions!$D$20)/0.065*(1-Assumptions!$D$52-Assumptions!$D$53-Assumptions!$D$54))/(1+Assumptions!$D$68)^Assumptions!$D$7)/1e6</f>
        <v/>
      </c>
      <c r="D38" s="90">
        <f>(-215000000.0*(1+Assumptions!$D$15)+(OpEx_CapEx!$E$9-OpEx_CapEx!$E$21+Tax!$E$12)*((1-(1+Assumptions!$D$68)^-Assumptions!$D$7)/Assumptions!$D$68)+(OpEx_CapEx!$E$9*(1+Assumptions!$D$20/2)^Assumptions!$D$7*(1+Assumptions!$D$20)/0.07*(1-Assumptions!$D$52-Assumptions!$D$53-Assumptions!$D$54))/(1+Assumptions!$D$68)^Assumptions!$D$7)/1e6</f>
        <v/>
      </c>
      <c r="E38" s="90">
        <f>(-215000000.0*(1+Assumptions!$D$15)+(OpEx_CapEx!$E$9-OpEx_CapEx!$E$21+Tax!$E$12)*((1-(1+Assumptions!$D$68)^-Assumptions!$D$7)/Assumptions!$D$68)+(OpEx_CapEx!$E$9*(1+Assumptions!$D$20/2)^Assumptions!$D$7*(1+Assumptions!$D$20)/0.075*(1-Assumptions!$D$52-Assumptions!$D$53-Assumptions!$D$54))/(1+Assumptions!$D$68)^Assumptions!$D$7)/1e6</f>
        <v/>
      </c>
      <c r="F38" s="90">
        <f>(-215000000.0*(1+Assumptions!$D$15)+(OpEx_CapEx!$E$9-OpEx_CapEx!$E$21+Tax!$E$12)*((1-(1+Assumptions!$D$68)^-Assumptions!$D$7)/Assumptions!$D$68)+(OpEx_CapEx!$E$9*(1+Assumptions!$D$20/2)^Assumptions!$D$7*(1+Assumptions!$D$20)/0.08*(1-Assumptions!$D$52-Assumptions!$D$53-Assumptions!$D$54))/(1+Assumptions!$D$68)^Assumptions!$D$7)/1e6</f>
        <v/>
      </c>
      <c r="G38" s="90">
        <f>(-215000000.0*(1+Assumptions!$D$15)+(OpEx_CapEx!$E$9-OpEx_CapEx!$E$21+Tax!$E$12)*((1-(1+Assumptions!$D$68)^-Assumptions!$D$7)/Assumptions!$D$68)+(OpEx_CapEx!$E$9*(1+Assumptions!$D$20/2)^Assumptions!$D$7*(1+Assumptions!$D$20)/0.085*(1-Assumptions!$D$52-Assumptions!$D$53-Assumptions!$D$54))/(1+Assumptions!$D$68)^Assumptions!$D$7)/1e6</f>
        <v/>
      </c>
      <c r="H38" s="90">
        <f>(-215000000.0*(1+Assumptions!$D$15)+(OpEx_CapEx!$E$9-OpEx_CapEx!$E$21+Tax!$E$12)*((1-(1+Assumptions!$D$68)^-Assumptions!$D$7)/Assumptions!$D$68)+(OpEx_CapEx!$E$9*(1+Assumptions!$D$20/2)^Assumptions!$D$7*(1+Assumptions!$D$20)/0.09*(1-Assumptions!$D$52-Assumptions!$D$53-Assumptions!$D$54))/(1+Assumptions!$D$68)^Assumptions!$D$7)/1e6</f>
        <v/>
      </c>
      <c r="I38" s="90">
        <f>(-215000000.0*(1+Assumptions!$D$15)+(OpEx_CapEx!$E$9-OpEx_CapEx!$E$21+Tax!$E$12)*((1-(1+Assumptions!$D$68)^-Assumptions!$D$7)/Assumptions!$D$68)+(OpEx_CapEx!$E$9*(1+Assumptions!$D$20/2)^Assumptions!$D$7*(1+Assumptions!$D$20)/0.1*(1-Assumptions!$D$52-Assumptions!$D$53-Assumptions!$D$54))/(1+Assumptions!$D$68)^Assumptions!$D$7)/1e6</f>
        <v/>
      </c>
    </row>
    <row r="39">
      <c r="B39" s="89" t="n">
        <v>230000000</v>
      </c>
      <c r="C39" s="90">
        <f>(-230000000.0*(1+Assumptions!$D$15)+(OpEx_CapEx!$E$9-OpEx_CapEx!$E$21+Tax!$E$12)*((1-(1+Assumptions!$D$68)^-Assumptions!$D$7)/Assumptions!$D$68)+(OpEx_CapEx!$E$9*(1+Assumptions!$D$20/2)^Assumptions!$D$7*(1+Assumptions!$D$20)/0.065*(1-Assumptions!$D$52-Assumptions!$D$53-Assumptions!$D$54))/(1+Assumptions!$D$68)^Assumptions!$D$7)/1e6</f>
        <v/>
      </c>
      <c r="D39" s="90">
        <f>(-230000000.0*(1+Assumptions!$D$15)+(OpEx_CapEx!$E$9-OpEx_CapEx!$E$21+Tax!$E$12)*((1-(1+Assumptions!$D$68)^-Assumptions!$D$7)/Assumptions!$D$68)+(OpEx_CapEx!$E$9*(1+Assumptions!$D$20/2)^Assumptions!$D$7*(1+Assumptions!$D$20)/0.07*(1-Assumptions!$D$52-Assumptions!$D$53-Assumptions!$D$54))/(1+Assumptions!$D$68)^Assumptions!$D$7)/1e6</f>
        <v/>
      </c>
      <c r="E39" s="90">
        <f>(-230000000.0*(1+Assumptions!$D$15)+(OpEx_CapEx!$E$9-OpEx_CapEx!$E$21+Tax!$E$12)*((1-(1+Assumptions!$D$68)^-Assumptions!$D$7)/Assumptions!$D$68)+(OpEx_CapEx!$E$9*(1+Assumptions!$D$20/2)^Assumptions!$D$7*(1+Assumptions!$D$20)/0.075*(1-Assumptions!$D$52-Assumptions!$D$53-Assumptions!$D$54))/(1+Assumptions!$D$68)^Assumptions!$D$7)/1e6</f>
        <v/>
      </c>
      <c r="F39" s="90">
        <f>(-230000000.0*(1+Assumptions!$D$15)+(OpEx_CapEx!$E$9-OpEx_CapEx!$E$21+Tax!$E$12)*((1-(1+Assumptions!$D$68)^-Assumptions!$D$7)/Assumptions!$D$68)+(OpEx_CapEx!$E$9*(1+Assumptions!$D$20/2)^Assumptions!$D$7*(1+Assumptions!$D$20)/0.08*(1-Assumptions!$D$52-Assumptions!$D$53-Assumptions!$D$54))/(1+Assumptions!$D$68)^Assumptions!$D$7)/1e6</f>
        <v/>
      </c>
      <c r="G39" s="90">
        <f>(-230000000.0*(1+Assumptions!$D$15)+(OpEx_CapEx!$E$9-OpEx_CapEx!$E$21+Tax!$E$12)*((1-(1+Assumptions!$D$68)^-Assumptions!$D$7)/Assumptions!$D$68)+(OpEx_CapEx!$E$9*(1+Assumptions!$D$20/2)^Assumptions!$D$7*(1+Assumptions!$D$20)/0.085*(1-Assumptions!$D$52-Assumptions!$D$53-Assumptions!$D$54))/(1+Assumptions!$D$68)^Assumptions!$D$7)/1e6</f>
        <v/>
      </c>
      <c r="H39" s="90">
        <f>(-230000000.0*(1+Assumptions!$D$15)+(OpEx_CapEx!$E$9-OpEx_CapEx!$E$21+Tax!$E$12)*((1-(1+Assumptions!$D$68)^-Assumptions!$D$7)/Assumptions!$D$68)+(OpEx_CapEx!$E$9*(1+Assumptions!$D$20/2)^Assumptions!$D$7*(1+Assumptions!$D$20)/0.09*(1-Assumptions!$D$52-Assumptions!$D$53-Assumptions!$D$54))/(1+Assumptions!$D$68)^Assumptions!$D$7)/1e6</f>
        <v/>
      </c>
      <c r="I39" s="90">
        <f>(-230000000.0*(1+Assumptions!$D$15)+(OpEx_CapEx!$E$9-OpEx_CapEx!$E$21+Tax!$E$12)*((1-(1+Assumptions!$D$68)^-Assumptions!$D$7)/Assumptions!$D$68)+(OpEx_CapEx!$E$9*(1+Assumptions!$D$20/2)^Assumptions!$D$7*(1+Assumptions!$D$20)/0.1*(1-Assumptions!$D$52-Assumptions!$D$53-Assumptions!$D$54))/(1+Assumptions!$D$68)^Assumptions!$D$7)/1e6</f>
        <v/>
      </c>
    </row>
    <row r="41">
      <c r="B41" s="52" t="inlineStr">
        <is>
          <t>Heat-map convention: GREEN = institutionally acceptable; RED = breach of hurdle/covenant; UNSHADED = marginal.</t>
        </is>
      </c>
    </row>
  </sheetData>
  <conditionalFormatting sqref="C8:I14">
    <cfRule type="cellIs" priority="1" operator="lessThan" dxfId="7">
      <formula>Assumptions!$D$71</formula>
    </cfRule>
    <cfRule type="cellIs" priority="2" operator="greaterThanOrEqual" dxfId="8">
      <formula>0.15</formula>
    </cfRule>
  </conditionalFormatting>
  <conditionalFormatting sqref="C21:I27">
    <cfRule type="cellIs" priority="3" operator="lessThan" dxfId="7">
      <formula>Assumptions!$D$73</formula>
    </cfRule>
    <cfRule type="cellIs" priority="4" operator="greaterThanOrEqual" dxfId="8">
      <formula>1.40</formula>
    </cfRule>
  </conditionalFormatting>
  <conditionalFormatting sqref="C33:I39">
    <cfRule type="cellIs" priority="5" operator="lessThan" dxfId="7">
      <formula>0</formula>
    </cfRule>
    <cfRule type="cellIs" priority="6" operator="greaterThan" dxfId="8">
      <formula>10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N24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73" t="inlineStr">
        <is>
          <t>LENDER METRICS — institutional credit view</t>
        </is>
      </c>
    </row>
    <row r="5">
      <c r="D5" s="65" t="inlineStr">
        <is>
          <t>Y0</t>
        </is>
      </c>
      <c r="E5" s="65" t="inlineStr">
        <is>
          <t>Y1</t>
        </is>
      </c>
      <c r="F5" s="65" t="inlineStr">
        <is>
          <t>Y2</t>
        </is>
      </c>
      <c r="G5" s="65" t="inlineStr">
        <is>
          <t>Y3</t>
        </is>
      </c>
      <c r="H5" s="65" t="inlineStr">
        <is>
          <t>Y4</t>
        </is>
      </c>
      <c r="I5" s="65" t="inlineStr">
        <is>
          <t>Y5</t>
        </is>
      </c>
      <c r="J5" s="65" t="inlineStr">
        <is>
          <t>Y6</t>
        </is>
      </c>
      <c r="K5" s="65" t="inlineStr">
        <is>
          <t>Y7</t>
        </is>
      </c>
      <c r="L5" s="65" t="inlineStr">
        <is>
          <t>Y8</t>
        </is>
      </c>
      <c r="M5" s="65" t="inlineStr">
        <is>
          <t>Y9</t>
        </is>
      </c>
      <c r="N5" s="65" t="inlineStr">
        <is>
          <t>Y10</t>
        </is>
      </c>
    </row>
    <row r="6">
      <c r="B6" s="58" t="inlineStr">
        <is>
          <t>CFADS (NOI − CapEx − tax)</t>
        </is>
      </c>
      <c r="D6" s="61">
        <f>OpEx_CapEx!D9+OpEx_CapEx!D23+Tax!D12</f>
        <v/>
      </c>
      <c r="E6" s="61">
        <f>OpEx_CapEx!E9+OpEx_CapEx!E23+Tax!E12</f>
        <v/>
      </c>
      <c r="F6" s="61">
        <f>OpEx_CapEx!F9+OpEx_CapEx!F23+Tax!F12</f>
        <v/>
      </c>
      <c r="G6" s="61">
        <f>OpEx_CapEx!G9+OpEx_CapEx!G23+Tax!G12</f>
        <v/>
      </c>
      <c r="H6" s="61">
        <f>OpEx_CapEx!H9+OpEx_CapEx!H23+Tax!H12</f>
        <v/>
      </c>
      <c r="I6" s="61">
        <f>OpEx_CapEx!I9+OpEx_CapEx!I23+Tax!I12</f>
        <v/>
      </c>
      <c r="J6" s="61">
        <f>OpEx_CapEx!J9+OpEx_CapEx!J23+Tax!J12</f>
        <v/>
      </c>
      <c r="K6" s="61">
        <f>OpEx_CapEx!K9+OpEx_CapEx!K23+Tax!K12</f>
        <v/>
      </c>
      <c r="L6" s="61">
        <f>OpEx_CapEx!L9+OpEx_CapEx!L23+Tax!L12</f>
        <v/>
      </c>
      <c r="M6" s="61">
        <f>OpEx_CapEx!M9+OpEx_CapEx!M23+Tax!M12</f>
        <v/>
      </c>
      <c r="N6" s="61">
        <f>OpEx_CapEx!N9+OpEx_CapEx!N23+Tax!N12</f>
        <v/>
      </c>
    </row>
    <row r="7">
      <c r="B7" s="58" t="inlineStr">
        <is>
          <t>Total debt service</t>
        </is>
      </c>
      <c r="D7" s="61">
        <f>ABS(Debt!D10)+ABS(Debt!D7)+ABS(Debt!D8)</f>
        <v/>
      </c>
      <c r="E7" s="61">
        <f>ABS(Debt!E10)+ABS(Debt!E7)+ABS(Debt!E8)</f>
        <v/>
      </c>
      <c r="F7" s="61">
        <f>ABS(Debt!F10)+ABS(Debt!F7)+ABS(Debt!F8)</f>
        <v/>
      </c>
      <c r="G7" s="61">
        <f>ABS(Debt!G10)+ABS(Debt!G7)+ABS(Debt!G8)</f>
        <v/>
      </c>
      <c r="H7" s="61">
        <f>ABS(Debt!H10)+ABS(Debt!H7)+ABS(Debt!H8)</f>
        <v/>
      </c>
      <c r="I7" s="61">
        <f>ABS(Debt!I10)+ABS(Debt!I7)+ABS(Debt!I8)</f>
        <v/>
      </c>
      <c r="J7" s="61">
        <f>ABS(Debt!J10)+ABS(Debt!J7)+ABS(Debt!J8)</f>
        <v/>
      </c>
      <c r="K7" s="61">
        <f>ABS(Debt!K10)+ABS(Debt!K7)+ABS(Debt!K8)</f>
        <v/>
      </c>
      <c r="L7" s="61">
        <f>ABS(Debt!L10)+ABS(Debt!L7)+ABS(Debt!L8)</f>
        <v/>
      </c>
      <c r="M7" s="61">
        <f>ABS(Debt!M10)+ABS(Debt!M7)+ABS(Debt!M8)</f>
        <v/>
      </c>
      <c r="N7" s="61">
        <f>ABS(Debt!N10)+ABS(Debt!N7)+ABS(Debt!N8)</f>
        <v/>
      </c>
    </row>
    <row r="8">
      <c r="B8" s="69" t="inlineStr">
        <is>
          <t>DSCR (CFADS / DS)</t>
        </is>
      </c>
      <c r="D8" s="72">
        <f>IFERROR(IF(D7=0,"-",D6/D7),"-")</f>
        <v/>
      </c>
      <c r="E8" s="72">
        <f>IFERROR(IF(E7=0,"-",E6/E7),"-")</f>
        <v/>
      </c>
      <c r="F8" s="72">
        <f>IFERROR(IF(F7=0,"-",F6/F7),"-")</f>
        <v/>
      </c>
      <c r="G8" s="72">
        <f>IFERROR(IF(G7=0,"-",G6/G7),"-")</f>
        <v/>
      </c>
      <c r="H8" s="72">
        <f>IFERROR(IF(H7=0,"-",H6/H7),"-")</f>
        <v/>
      </c>
      <c r="I8" s="72">
        <f>IFERROR(IF(I7=0,"-",I6/I7),"-")</f>
        <v/>
      </c>
      <c r="J8" s="72">
        <f>IFERROR(IF(J7=0,"-",J6/J7),"-")</f>
        <v/>
      </c>
      <c r="K8" s="72">
        <f>IFERROR(IF(K7=0,"-",K6/K7),"-")</f>
        <v/>
      </c>
      <c r="L8" s="72">
        <f>IFERROR(IF(L7=0,"-",L6/L7),"-")</f>
        <v/>
      </c>
      <c r="M8" s="72">
        <f>IFERROR(IF(M7=0,"-",M6/M7),"-")</f>
        <v/>
      </c>
      <c r="N8" s="72">
        <f>IFERROR(IF(N7=0,"-",N6/N7),"-")</f>
        <v/>
      </c>
    </row>
    <row r="10">
      <c r="B10" s="69" t="inlineStr">
        <is>
          <t>LLCR (PV CFADS over loan life / Debt outstanding)</t>
        </is>
      </c>
      <c r="D10" s="72">
        <f>IFERROR(IF(Debt!D9=0,"-",(E6/(1+Assumptions!$D$42)^1+F6/(1+Assumptions!$D$42)^2+G6/(1+Assumptions!$D$42)^3+H6/(1+Assumptions!$D$42)^4+I6/(1+Assumptions!$D$42)^5+J6/(1+Assumptions!$D$42)^6+K6/(1+Assumptions!$D$42)^7+L6/(1+Assumptions!$D$42)^8+M6/(1+Assumptions!$D$42)^9+N6/(1+Assumptions!$D$42)^10)/Debt!D9),"-")</f>
        <v/>
      </c>
      <c r="E10" s="72">
        <f>IFERROR(IF(Debt!E9=0,"-",(E6/(1+Assumptions!$D$42)^1+F6/(1+Assumptions!$D$42)^2+G6/(1+Assumptions!$D$42)^3+H6/(1+Assumptions!$D$42)^4+I6/(1+Assumptions!$D$42)^5+J6/(1+Assumptions!$D$42)^6+K6/(1+Assumptions!$D$42)^7+L6/(1+Assumptions!$D$42)^8+M6/(1+Assumptions!$D$42)^9+N6/(1+Assumptions!$D$42)^10)/Debt!E9),"-")</f>
        <v/>
      </c>
      <c r="F10" s="72">
        <f>IFERROR(IF(Debt!F9=0,"-",(F6/(1+Assumptions!$D$42)^1+G6/(1+Assumptions!$D$42)^2+H6/(1+Assumptions!$D$42)^3+I6/(1+Assumptions!$D$42)^4+J6/(1+Assumptions!$D$42)^5+K6/(1+Assumptions!$D$42)^6+L6/(1+Assumptions!$D$42)^7+M6/(1+Assumptions!$D$42)^8+N6/(1+Assumptions!$D$42)^9)/Debt!F9),"-")</f>
        <v/>
      </c>
      <c r="G10" s="72">
        <f>IFERROR(IF(Debt!G9=0,"-",(G6/(1+Assumptions!$D$42)^1+H6/(1+Assumptions!$D$42)^2+I6/(1+Assumptions!$D$42)^3+J6/(1+Assumptions!$D$42)^4+K6/(1+Assumptions!$D$42)^5+L6/(1+Assumptions!$D$42)^6+M6/(1+Assumptions!$D$42)^7+N6/(1+Assumptions!$D$42)^8)/Debt!G9),"-")</f>
        <v/>
      </c>
      <c r="H10" s="72">
        <f>IFERROR(IF(Debt!H9=0,"-",(H6/(1+Assumptions!$D$42)^1+I6/(1+Assumptions!$D$42)^2+J6/(1+Assumptions!$D$42)^3+K6/(1+Assumptions!$D$42)^4+L6/(1+Assumptions!$D$42)^5+M6/(1+Assumptions!$D$42)^6+N6/(1+Assumptions!$D$42)^7)/Debt!H9),"-")</f>
        <v/>
      </c>
      <c r="I10" s="72">
        <f>IFERROR(IF(Debt!I9=0,"-",(I6/(1+Assumptions!$D$42)^1+J6/(1+Assumptions!$D$42)^2+K6/(1+Assumptions!$D$42)^3+L6/(1+Assumptions!$D$42)^4+M6/(1+Assumptions!$D$42)^5+N6/(1+Assumptions!$D$42)^6)/Debt!I9),"-")</f>
        <v/>
      </c>
      <c r="J10" s="72">
        <f>IFERROR(IF(Debt!J9=0,"-",(J6/(1+Assumptions!$D$42)^1+K6/(1+Assumptions!$D$42)^2+L6/(1+Assumptions!$D$42)^3+M6/(1+Assumptions!$D$42)^4+N6/(1+Assumptions!$D$42)^5)/Debt!J9),"-")</f>
        <v/>
      </c>
      <c r="K10" s="72">
        <f>IFERROR(IF(Debt!K9=0,"-",(K6/(1+Assumptions!$D$42)^1+L6/(1+Assumptions!$D$42)^2+M6/(1+Assumptions!$D$42)^3+N6/(1+Assumptions!$D$42)^4)/Debt!K9),"-")</f>
        <v/>
      </c>
      <c r="L10" s="72">
        <f>IFERROR(IF(Debt!L9=0,"-",(L6/(1+Assumptions!$D$42)^1+M6/(1+Assumptions!$D$42)^2+N6/(1+Assumptions!$D$42)^3)/Debt!L9),"-")</f>
        <v/>
      </c>
      <c r="M10" s="72">
        <f>IFERROR(IF(Debt!M9=0,"-",(M6/(1+Assumptions!$D$42)^1+N6/(1+Assumptions!$D$42)^2)/Debt!M9),"-")</f>
        <v/>
      </c>
      <c r="N10" s="72">
        <f>IFERROR(IF(Debt!N9=0,"-",(N6/(1+Assumptions!$D$42)^1)/Debt!N9),"-")</f>
        <v/>
      </c>
    </row>
    <row r="11">
      <c r="B11" s="69" t="inlineStr">
        <is>
          <t>PLCR (PV CFADS + terminal / Debt outstanding)</t>
        </is>
      </c>
      <c r="D11" s="72">
        <f>IFERROR(IF(Debt!D9=0,"-",(E6/(1+Assumptions!$D$42)^1+F6/(1+Assumptions!$D$42)^2+G6/(1+Assumptions!$D$42)^3+H6/(1+Assumptions!$D$42)^4+I6/(1+Assumptions!$D$42)^5+J6/(1+Assumptions!$D$42)^6+K6/(1+Assumptions!$D$42)^7+L6/(1+Assumptions!$D$42)^8+M6/(1+Assumptions!$D$42)^9+N6/(1+Assumptions!$D$42)^10+DCF!N10/(1+Assumptions!$D$42)^10)/Debt!D9),"-")</f>
        <v/>
      </c>
      <c r="E11" s="72">
        <f>IFERROR(IF(Debt!E9=0,"-",(E6/(1+Assumptions!$D$42)^1+F6/(1+Assumptions!$D$42)^2+G6/(1+Assumptions!$D$42)^3+H6/(1+Assumptions!$D$42)^4+I6/(1+Assumptions!$D$42)^5+J6/(1+Assumptions!$D$42)^6+K6/(1+Assumptions!$D$42)^7+L6/(1+Assumptions!$D$42)^8+M6/(1+Assumptions!$D$42)^9+N6/(1+Assumptions!$D$42)^10+DCF!N10/(1+Assumptions!$D$42)^9)/Debt!E9),"-")</f>
        <v/>
      </c>
      <c r="F11" s="72">
        <f>IFERROR(IF(Debt!F9=0,"-",(F6/(1+Assumptions!$D$42)^1+G6/(1+Assumptions!$D$42)^2+H6/(1+Assumptions!$D$42)^3+I6/(1+Assumptions!$D$42)^4+J6/(1+Assumptions!$D$42)^5+K6/(1+Assumptions!$D$42)^6+L6/(1+Assumptions!$D$42)^7+M6/(1+Assumptions!$D$42)^8+N6/(1+Assumptions!$D$42)^9+DCF!N10/(1+Assumptions!$D$42)^8)/Debt!F9),"-")</f>
        <v/>
      </c>
      <c r="G11" s="72">
        <f>IFERROR(IF(Debt!G9=0,"-",(G6/(1+Assumptions!$D$42)^1+H6/(1+Assumptions!$D$42)^2+I6/(1+Assumptions!$D$42)^3+J6/(1+Assumptions!$D$42)^4+K6/(1+Assumptions!$D$42)^5+L6/(1+Assumptions!$D$42)^6+M6/(1+Assumptions!$D$42)^7+N6/(1+Assumptions!$D$42)^8+DCF!N10/(1+Assumptions!$D$42)^7)/Debt!G9),"-")</f>
        <v/>
      </c>
      <c r="H11" s="72">
        <f>IFERROR(IF(Debt!H9=0,"-",(H6/(1+Assumptions!$D$42)^1+I6/(1+Assumptions!$D$42)^2+J6/(1+Assumptions!$D$42)^3+K6/(1+Assumptions!$D$42)^4+L6/(1+Assumptions!$D$42)^5+M6/(1+Assumptions!$D$42)^6+N6/(1+Assumptions!$D$42)^7+DCF!N10/(1+Assumptions!$D$42)^6)/Debt!H9),"-")</f>
        <v/>
      </c>
      <c r="I11" s="72">
        <f>IFERROR(IF(Debt!I9=0,"-",(I6/(1+Assumptions!$D$42)^1+J6/(1+Assumptions!$D$42)^2+K6/(1+Assumptions!$D$42)^3+L6/(1+Assumptions!$D$42)^4+M6/(1+Assumptions!$D$42)^5+N6/(1+Assumptions!$D$42)^6+DCF!N10/(1+Assumptions!$D$42)^5)/Debt!I9),"-")</f>
        <v/>
      </c>
      <c r="J11" s="72">
        <f>IFERROR(IF(Debt!J9=0,"-",(J6/(1+Assumptions!$D$42)^1+K6/(1+Assumptions!$D$42)^2+L6/(1+Assumptions!$D$42)^3+M6/(1+Assumptions!$D$42)^4+N6/(1+Assumptions!$D$42)^5+DCF!N10/(1+Assumptions!$D$42)^4)/Debt!J9),"-")</f>
        <v/>
      </c>
      <c r="K11" s="72">
        <f>IFERROR(IF(Debt!K9=0,"-",(K6/(1+Assumptions!$D$42)^1+L6/(1+Assumptions!$D$42)^2+M6/(1+Assumptions!$D$42)^3+N6/(1+Assumptions!$D$42)^4+DCF!N10/(1+Assumptions!$D$42)^3)/Debt!K9),"-")</f>
        <v/>
      </c>
      <c r="L11" s="72">
        <f>IFERROR(IF(Debt!L9=0,"-",(L6/(1+Assumptions!$D$42)^1+M6/(1+Assumptions!$D$42)^2+N6/(1+Assumptions!$D$42)^3+DCF!N10/(1+Assumptions!$D$42)^2)/Debt!L9),"-")</f>
        <v/>
      </c>
      <c r="M11" s="72">
        <f>IFERROR(IF(Debt!M9=0,"-",(M6/(1+Assumptions!$D$42)^1+N6/(1+Assumptions!$D$42)^2+DCF!N10/(1+Assumptions!$D$42)^1)/Debt!M9),"-")</f>
        <v/>
      </c>
      <c r="N11" s="72">
        <f>IFERROR(IF(Debt!N9=0,"-",(N6/(1+Assumptions!$D$42)^1+DCF!N10/(1+Assumptions!$D$42)^0)/Debt!N9),"-")</f>
        <v/>
      </c>
    </row>
    <row r="13">
      <c r="B13" s="58" t="inlineStr">
        <is>
          <t>Debt yield (NOI / Debt outstanding)</t>
        </is>
      </c>
      <c r="D13" s="99">
        <f>IFERROR(IF(Debt!D9=0,"-",OpEx_CapEx!D9/Debt!D9),"-")</f>
        <v/>
      </c>
      <c r="E13" s="99">
        <f>IFERROR(IF(Debt!E9=0,"-",OpEx_CapEx!E9/Debt!E9),"-")</f>
        <v/>
      </c>
      <c r="F13" s="99">
        <f>IFERROR(IF(Debt!F9=0,"-",OpEx_CapEx!F9/Debt!F9),"-")</f>
        <v/>
      </c>
      <c r="G13" s="99">
        <f>IFERROR(IF(Debt!G9=0,"-",OpEx_CapEx!G9/Debt!G9),"-")</f>
        <v/>
      </c>
      <c r="H13" s="99">
        <f>IFERROR(IF(Debt!H9=0,"-",OpEx_CapEx!H9/Debt!H9),"-")</f>
        <v/>
      </c>
      <c r="I13" s="99">
        <f>IFERROR(IF(Debt!I9=0,"-",OpEx_CapEx!I9/Debt!I9),"-")</f>
        <v/>
      </c>
      <c r="J13" s="99">
        <f>IFERROR(IF(Debt!J9=0,"-",OpEx_CapEx!J9/Debt!J9),"-")</f>
        <v/>
      </c>
      <c r="K13" s="99">
        <f>IFERROR(IF(Debt!K9=0,"-",OpEx_CapEx!K9/Debt!K9),"-")</f>
        <v/>
      </c>
      <c r="L13" s="99">
        <f>IFERROR(IF(Debt!L9=0,"-",OpEx_CapEx!L9/Debt!L9),"-")</f>
        <v/>
      </c>
      <c r="M13" s="99">
        <f>IFERROR(IF(Debt!M9=0,"-",OpEx_CapEx!M9/Debt!M9),"-")</f>
        <v/>
      </c>
      <c r="N13" s="99">
        <f>IFERROR(IF(Debt!N9=0,"-",OpEx_CapEx!N9/Debt!N9),"-")</f>
        <v/>
      </c>
    </row>
    <row r="14">
      <c r="B14" s="58" t="inlineStr">
        <is>
          <t>Break-even occupancy (% of revenue needed for DS)</t>
        </is>
      </c>
      <c r="D14" s="99">
        <f>IFERROR(IF(Revenue!D5=0,"-",1-(Revenue!D5-D7-ABS(OpEx_CapEx!D8))/Revenue!D5),"-")</f>
        <v/>
      </c>
      <c r="E14" s="99">
        <f>IFERROR(IF(Revenue!E5=0,"-",1-(Revenue!E5-E7-ABS(OpEx_CapEx!E8))/Revenue!E5),"-")</f>
        <v/>
      </c>
      <c r="F14" s="99">
        <f>IFERROR(IF(Revenue!F5=0,"-",1-(Revenue!F5-F7-ABS(OpEx_CapEx!F8))/Revenue!F5),"-")</f>
        <v/>
      </c>
      <c r="G14" s="99">
        <f>IFERROR(IF(Revenue!G5=0,"-",1-(Revenue!G5-G7-ABS(OpEx_CapEx!G8))/Revenue!G5),"-")</f>
        <v/>
      </c>
      <c r="H14" s="99">
        <f>IFERROR(IF(Revenue!H5=0,"-",1-(Revenue!H5-H7-ABS(OpEx_CapEx!H8))/Revenue!H5),"-")</f>
        <v/>
      </c>
      <c r="I14" s="99">
        <f>IFERROR(IF(Revenue!I5=0,"-",1-(Revenue!I5-I7-ABS(OpEx_CapEx!I8))/Revenue!I5),"-")</f>
        <v/>
      </c>
      <c r="J14" s="99">
        <f>IFERROR(IF(Revenue!J5=0,"-",1-(Revenue!J5-J7-ABS(OpEx_CapEx!J8))/Revenue!J5),"-")</f>
        <v/>
      </c>
      <c r="K14" s="99">
        <f>IFERROR(IF(Revenue!K5=0,"-",1-(Revenue!K5-K7-ABS(OpEx_CapEx!K8))/Revenue!K5),"-")</f>
        <v/>
      </c>
      <c r="L14" s="99">
        <f>IFERROR(IF(Revenue!L5=0,"-",1-(Revenue!L5-L7-ABS(OpEx_CapEx!L8))/Revenue!L5),"-")</f>
        <v/>
      </c>
      <c r="M14" s="99">
        <f>IFERROR(IF(Revenue!M5=0,"-",1-(Revenue!M5-M7-ABS(OpEx_CapEx!M8))/Revenue!M5),"-")</f>
        <v/>
      </c>
      <c r="N14" s="99">
        <f>IFERROR(IF(Revenue!N5=0,"-",1-(Revenue!N5-N7-ABS(OpEx_CapEx!N8))/Revenue!N5),"-")</f>
        <v/>
      </c>
    </row>
    <row r="15">
      <c r="B15" s="58" t="inlineStr">
        <is>
          <t>DSCR covenant headroom (DSCR − 1.30x threshold)</t>
        </is>
      </c>
      <c r="D15" s="72">
        <f>IFERROR(IF(D8="-","-",D8-Assumptions!$D$73),"-")</f>
        <v/>
      </c>
      <c r="E15" s="72">
        <f>IFERROR(IF(E8="-","-",E8-Assumptions!$D$73),"-")</f>
        <v/>
      </c>
      <c r="F15" s="72">
        <f>IFERROR(IF(F8="-","-",F8-Assumptions!$D$73),"-")</f>
        <v/>
      </c>
      <c r="G15" s="72">
        <f>IFERROR(IF(G8="-","-",G8-Assumptions!$D$73),"-")</f>
        <v/>
      </c>
      <c r="H15" s="72">
        <f>IFERROR(IF(H8="-","-",H8-Assumptions!$D$73),"-")</f>
        <v/>
      </c>
      <c r="I15" s="72">
        <f>IFERROR(IF(I8="-","-",I8-Assumptions!$D$73),"-")</f>
        <v/>
      </c>
      <c r="J15" s="72">
        <f>IFERROR(IF(J8="-","-",J8-Assumptions!$D$73),"-")</f>
        <v/>
      </c>
      <c r="K15" s="72">
        <f>IFERROR(IF(K8="-","-",K8-Assumptions!$D$73),"-")</f>
        <v/>
      </c>
      <c r="L15" s="72">
        <f>IFERROR(IF(L8="-","-",L8-Assumptions!$D$73),"-")</f>
        <v/>
      </c>
      <c r="M15" s="72">
        <f>IFERROR(IF(M8="-","-",M8-Assumptions!$D$73),"-")</f>
        <v/>
      </c>
      <c r="N15" s="72">
        <f>IFERROR(IF(N8="-","-",N8-Assumptions!$D$73),"-")</f>
        <v/>
      </c>
    </row>
    <row r="16">
      <c r="B16" s="58" t="inlineStr">
        <is>
          <t>Debt-yield headroom (DY − 10% threshold)</t>
        </is>
      </c>
      <c r="D16" s="99">
        <f>IFERROR(IF(D13="-","-",D13-Assumptions!$D$75),"-")</f>
        <v/>
      </c>
      <c r="E16" s="99">
        <f>IFERROR(IF(E13="-","-",E13-Assumptions!$D$75),"-")</f>
        <v/>
      </c>
      <c r="F16" s="99">
        <f>IFERROR(IF(F13="-","-",F13-Assumptions!$D$75),"-")</f>
        <v/>
      </c>
      <c r="G16" s="99">
        <f>IFERROR(IF(G13="-","-",G13-Assumptions!$D$75),"-")</f>
        <v/>
      </c>
      <c r="H16" s="99">
        <f>IFERROR(IF(H13="-","-",H13-Assumptions!$D$75),"-")</f>
        <v/>
      </c>
      <c r="I16" s="99">
        <f>IFERROR(IF(I13="-","-",I13-Assumptions!$D$75),"-")</f>
        <v/>
      </c>
      <c r="J16" s="99">
        <f>IFERROR(IF(J13="-","-",J13-Assumptions!$D$75),"-")</f>
        <v/>
      </c>
      <c r="K16" s="99">
        <f>IFERROR(IF(K13="-","-",K13-Assumptions!$D$75),"-")</f>
        <v/>
      </c>
      <c r="L16" s="99">
        <f>IFERROR(IF(L13="-","-",L13-Assumptions!$D$75),"-")</f>
        <v/>
      </c>
      <c r="M16" s="99">
        <f>IFERROR(IF(M13="-","-",M13-Assumptions!$D$75),"-")</f>
        <v/>
      </c>
      <c r="N16" s="99">
        <f>IFERROR(IF(N13="-","-",N13-Assumptions!$D$75),"-")</f>
        <v/>
      </c>
    </row>
    <row r="18">
      <c r="B18" s="53" t="inlineStr">
        <is>
          <t>INSTITUTIONAL LENDER VERDICT</t>
        </is>
      </c>
    </row>
    <row r="19">
      <c r="B19" s="58" t="inlineStr">
        <is>
          <t>Avg DSCR (excl bullet year)</t>
        </is>
      </c>
      <c r="D19" s="72">
        <f>AVERAGE(E8:M8)</f>
        <v/>
      </c>
    </row>
    <row r="20">
      <c r="B20" s="69" t="inlineStr">
        <is>
          <t>Min DSCR (excl bullet year)</t>
        </is>
      </c>
      <c r="D20" s="72">
        <f>MIN(E8:M8)</f>
        <v/>
      </c>
    </row>
    <row r="21">
      <c r="B21" s="69" t="inlineStr">
        <is>
          <t>Min LLCR</t>
        </is>
      </c>
      <c r="D21" s="72">
        <f>MIN(E10:N10)</f>
        <v/>
      </c>
    </row>
    <row r="22">
      <c r="B22" s="58" t="inlineStr">
        <is>
          <t>Min debt yield</t>
        </is>
      </c>
      <c r="D22" s="99">
        <f>MIN(E13:N13)</f>
        <v/>
      </c>
    </row>
    <row r="23">
      <c r="B23" s="58" t="inlineStr">
        <is>
          <t>Max break-even occupancy</t>
        </is>
      </c>
      <c r="D23" s="99">
        <f>MAX(E14:N14)</f>
        <v/>
      </c>
    </row>
    <row r="24">
      <c r="B24" s="69" t="inlineStr">
        <is>
          <t>Bankability score</t>
        </is>
      </c>
      <c r="D24" s="58">
        <f>IFERROR(IF(AND(D20&gt;=Assumptions!$D$73,D21&gt;=1.4,D22&gt;=Assumptions!$D$75),"BANKABLE",IF(AND(D20&gt;=1.15,D21&gt;=1.20),"CONDITIONAL","NOT BANKABLE")),"REVIEW")</f>
        <v/>
      </c>
    </row>
  </sheetData>
  <conditionalFormatting sqref="D24">
    <cfRule type="cellIs" priority="1" operator="equal" dxfId="5">
      <formula>"BANKABLE"</formula>
    </cfRule>
    <cfRule type="cellIs" priority="2" operator="equal" dxfId="4">
      <formula>"NOT BANKABLE"</formula>
    </cfRule>
    <cfRule type="cellIs" priority="3" operator="equal" dxfId="6">
      <formula>"CONDITIONAL"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I70"/>
  <sheetViews>
    <sheetView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73" t="inlineStr">
        <is>
          <t>RESTRUCTURED DEAL — Institutional target structure</t>
        </is>
      </c>
    </row>
    <row r="3">
      <c r="B3" s="52" t="inlineStr">
        <is>
          <t>Comparison of v4 deal as-presented vs the structure required for institutional approval. All restructured inputs sourced from Assumptions §15.</t>
        </is>
      </c>
    </row>
    <row r="5">
      <c r="B5" s="65" t="inlineStr">
        <is>
          <t>Metric</t>
        </is>
      </c>
      <c r="C5" s="65" t="inlineStr">
        <is>
          <t>v4 As-Presented</t>
        </is>
      </c>
      <c r="D5" s="65" t="inlineStr">
        <is>
          <t>v5 Restructured</t>
        </is>
      </c>
      <c r="E5" s="65" t="inlineStr">
        <is>
          <t>Δ</t>
        </is>
      </c>
      <c r="F5" s="65" t="inlineStr">
        <is>
          <t>Rationale</t>
        </is>
      </c>
    </row>
    <row r="6">
      <c r="B6" s="58" t="inlineStr">
        <is>
          <t>Acquisition price</t>
        </is>
      </c>
      <c r="C6" s="61">
        <f>Assumptions!$D$11</f>
        <v/>
      </c>
      <c r="D6" s="61">
        <f>Assumptions!$D$110</f>
        <v/>
      </c>
      <c r="E6" s="61">
        <f>IFERROR(D6-C6,0)</f>
        <v/>
      </c>
      <c r="F6" s="52" t="inlineStr">
        <is>
          <t>Renegotiate basis: lower entry yield by ~10–15 bps absorbs cap risk.</t>
        </is>
      </c>
    </row>
    <row r="7">
      <c r="B7" s="58" t="inlineStr">
        <is>
          <t>Acquisition costs % (RETT+broker+legal)</t>
        </is>
      </c>
      <c r="C7" s="61">
        <f>Assumptions!$D$15</f>
        <v/>
      </c>
      <c r="D7" s="61">
        <f>Assumptions!$D$15</f>
        <v/>
      </c>
      <c r="E7" s="79">
        <f>IFERROR(D7-C7,0)</f>
        <v/>
      </c>
      <c r="F7" s="52" t="inlineStr">
        <is>
          <t>Largely fixed.</t>
        </is>
      </c>
    </row>
    <row r="8">
      <c r="B8" s="58" t="inlineStr">
        <is>
          <t>Total project cost (pre-reserves)</t>
        </is>
      </c>
      <c r="C8" s="61">
        <f>C6*(1+C7)</f>
        <v/>
      </c>
      <c r="D8" s="61">
        <f>D6*(1+D7)</f>
        <v/>
      </c>
      <c r="E8" s="61">
        <f>IFERROR(D8-C8,0)</f>
        <v/>
      </c>
      <c r="F8" s="52" t="inlineStr">
        <is>
          <t>Lower basis ⇒ smaller equity check.</t>
        </is>
      </c>
    </row>
    <row r="9">
      <c r="B9" s="58" t="inlineStr">
        <is>
          <t>Year 1 NOI</t>
        </is>
      </c>
      <c r="C9" s="61">
        <f>OpEx_CapEx!$E$9</f>
        <v/>
      </c>
      <c r="D9" s="61">
        <f>OpEx_CapEx!$E$9*(1+Assumptions!$D$111)</f>
        <v/>
      </c>
      <c r="E9" s="61">
        <f>IFERROR(D9-C9,0)</f>
        <v/>
      </c>
      <c r="F9" s="52" t="inlineStr">
        <is>
          <t>5% NOI uplift from repositioning, OpEx cut, lease optimisation.</t>
        </is>
      </c>
    </row>
    <row r="10">
      <c r="B10" s="58" t="inlineStr">
        <is>
          <t>Entry cap (Y1 NOI / price)</t>
        </is>
      </c>
      <c r="C10" s="61">
        <f>C9/C6</f>
        <v/>
      </c>
      <c r="D10" s="61">
        <f>D9/D6</f>
        <v/>
      </c>
      <c r="E10" s="79">
        <f>IFERROR(D10-C10,0)</f>
        <v/>
      </c>
      <c r="F10" s="52" t="inlineStr">
        <is>
          <t>Restructured entry yield substantially higher.</t>
        </is>
      </c>
    </row>
    <row r="11">
      <c r="B11" s="58" t="inlineStr">
        <is>
          <t>LTV</t>
        </is>
      </c>
      <c r="C11" s="79">
        <f>Assumptions!$D$41</f>
        <v/>
      </c>
      <c r="D11" s="79">
        <f>Assumptions!$D$112</f>
        <v/>
      </c>
      <c r="E11" s="79">
        <f>IFERROR(D11-C11,0)</f>
        <v/>
      </c>
      <c r="F11" s="52" t="inlineStr">
        <is>
          <t>Move to 55% — bank ceiling for income real estate.</t>
        </is>
      </c>
    </row>
    <row r="12">
      <c r="B12" s="58" t="inlineStr">
        <is>
          <t>Debt amount</t>
        </is>
      </c>
      <c r="C12" s="61">
        <f>C8*C11</f>
        <v/>
      </c>
      <c r="D12" s="61">
        <f>D8*D11</f>
        <v/>
      </c>
      <c r="E12" s="61">
        <f>IFERROR(D12-C12,0)</f>
        <v/>
      </c>
      <c r="F12" s="52" t="inlineStr"/>
    </row>
    <row r="13">
      <c r="B13" s="58" t="inlineStr">
        <is>
          <t>Equity amount</t>
        </is>
      </c>
      <c r="C13" s="61">
        <f>C8-C12</f>
        <v/>
      </c>
      <c r="D13" s="61">
        <f>D8-D12</f>
        <v/>
      </c>
      <c r="E13" s="61">
        <f>IFERROR(D13-C13,0)</f>
        <v/>
      </c>
      <c r="F13" s="52" t="inlineStr"/>
    </row>
    <row r="14">
      <c r="B14" s="58" t="inlineStr">
        <is>
          <t>Cost of debt</t>
        </is>
      </c>
      <c r="C14" s="61">
        <f>Assumptions!$D$42</f>
        <v/>
      </c>
      <c r="D14" s="61">
        <f>Assumptions!$D$113</f>
        <v/>
      </c>
      <c r="E14" s="61">
        <f>IFERROR(D14-C14,0)</f>
        <v/>
      </c>
      <c r="F14" s="52" t="inlineStr">
        <is>
          <t>Sized to current SAIBOR + 175bps; v4 underpriced.</t>
        </is>
      </c>
    </row>
    <row r="15">
      <c r="B15" s="58" t="inlineStr">
        <is>
          <t>Amortizing structure</t>
        </is>
      </c>
      <c r="C15" s="92">
        <f>IF(Assumptions!$D$44=1,"YES","NO")</f>
        <v/>
      </c>
      <c r="D15" s="92">
        <f>IF(Assumptions!$D$114=1,"YES","NO")</f>
        <v/>
      </c>
      <c r="F15" s="52" t="inlineStr">
        <is>
          <t>Mandatory: removes exit-year bullet risk.</t>
        </is>
      </c>
    </row>
    <row r="16">
      <c r="B16" s="58" t="inlineStr">
        <is>
          <t>Exit cap</t>
        </is>
      </c>
      <c r="C16" s="79">
        <f>Assumptions!$D$51</f>
        <v/>
      </c>
      <c r="D16" s="79">
        <f>Assumptions!$D$115</f>
        <v/>
      </c>
      <c r="E16" s="79">
        <f>IFERROR(D16-C16,0)</f>
        <v/>
      </c>
      <c r="F16" s="52" t="inlineStr">
        <is>
          <t>Conservative 8% (KSA forward + risk premium).</t>
        </is>
      </c>
    </row>
    <row r="17">
      <c r="B17" s="58" t="inlineStr">
        <is>
          <t>Stabilised debt yield (Y1 NOI / Debt)</t>
        </is>
      </c>
      <c r="C17" s="61">
        <f>C9/C12</f>
        <v/>
      </c>
      <c r="D17" s="61">
        <f>D9/D12</f>
        <v/>
      </c>
      <c r="E17" s="79">
        <f>IFERROR(D17-C17,0)</f>
        <v/>
      </c>
      <c r="F17" s="52" t="inlineStr">
        <is>
          <t>Restructured ≥ 10–11%.</t>
        </is>
      </c>
    </row>
    <row r="18">
      <c r="B18" s="58" t="inlineStr">
        <is>
          <t>Y1 interest expense</t>
        </is>
      </c>
      <c r="C18" s="61">
        <f>C12*C14</f>
        <v/>
      </c>
      <c r="D18" s="61">
        <f>D12*D14</f>
        <v/>
      </c>
      <c r="E18" s="61">
        <f>IFERROR(D18-C18,0)</f>
        <v/>
      </c>
      <c r="F18" s="52" t="inlineStr"/>
    </row>
    <row r="19">
      <c r="B19" s="58" t="inlineStr">
        <is>
          <t>Y1 amortization (25-yr amort profile, 10-yr balloon)</t>
        </is>
      </c>
      <c r="C19" s="61">
        <f>IF(Assumptions!$D$44=1,C12/25,0)</f>
        <v/>
      </c>
      <c r="D19" s="61">
        <f>IF(Assumptions!$D$114=1,D12/25,0)</f>
        <v/>
      </c>
      <c r="E19" s="61">
        <f>IFERROR(D19-C19,0)</f>
        <v/>
      </c>
      <c r="F19" s="52" t="inlineStr"/>
    </row>
    <row r="20">
      <c r="B20" s="58" t="inlineStr">
        <is>
          <t>Y1 DSCR (NOI / total DS)</t>
        </is>
      </c>
      <c r="C20" s="61">
        <f>C9/(C18+C19)</f>
        <v/>
      </c>
      <c r="D20" s="61">
        <f>D9/(D18+D19)</f>
        <v/>
      </c>
      <c r="E20" s="72">
        <f>IFERROR(D20-C20,0)</f>
        <v/>
      </c>
      <c r="F20" s="52" t="inlineStr">
        <is>
          <t>Restructured DSCR ≥ 1.40x target.</t>
        </is>
      </c>
    </row>
    <row r="21">
      <c r="B21" s="58" t="inlineStr">
        <is>
          <t>Equity IRR floor target</t>
        </is>
      </c>
      <c r="C21" s="79">
        <f>Assumptions!$D$71</f>
        <v/>
      </c>
      <c r="D21" s="79">
        <f>Assumptions!$D$116</f>
        <v/>
      </c>
      <c r="E21" s="79">
        <f>IFERROR(D21-C21,0)</f>
        <v/>
      </c>
      <c r="F21" s="52" t="inlineStr">
        <is>
          <t>Set to 12% — KSA core-plus real estate institutional floor.</t>
        </is>
      </c>
    </row>
    <row r="22">
      <c r="B22" s="58" t="inlineStr">
        <is>
          <t>Min DSCR floor target</t>
        </is>
      </c>
      <c r="C22" s="79">
        <f>Assumptions!$D$73</f>
        <v/>
      </c>
      <c r="D22" s="79">
        <f>Assumptions!$D$117</f>
        <v/>
      </c>
      <c r="E22" s="72">
        <f>IFERROR(D22-C22,0)</f>
        <v/>
      </c>
      <c r="F22" s="52" t="inlineStr">
        <is>
          <t>Raised to 1.40x.</t>
        </is>
      </c>
    </row>
    <row r="25">
      <c r="B25" s="53" t="inlineStr">
        <is>
          <t>RESTRUCTURED-DEAL VERDICT</t>
        </is>
      </c>
    </row>
    <row r="26">
      <c r="B26" s="58" t="inlineStr">
        <is>
          <t>Combined effect on Y1 DSCR (v4 vs v5)</t>
        </is>
      </c>
      <c r="C26" s="72">
        <f>C20</f>
        <v/>
      </c>
      <c r="D26" s="72">
        <f>D20</f>
        <v/>
      </c>
    </row>
    <row r="27">
      <c r="B27" s="58" t="inlineStr">
        <is>
          <t>Hits institutional floors (Y1 DSCR ≥ floor AND IRR ≥ floor)</t>
        </is>
      </c>
      <c r="D27" s="58">
        <f>IF(AND(D20&gt;=Assumptions!$D$117,D59&gt;=Assumptions!$D$116),"PASS","FAIL")</f>
        <v/>
      </c>
    </row>
    <row r="29">
      <c r="B29" s="53" t="inlineStr">
        <is>
          <t>CONDITIONS REQUIRED FOR INSTITUTIONAL APPROVAL</t>
        </is>
      </c>
    </row>
    <row r="30">
      <c r="B30" s="52" t="inlineStr">
        <is>
          <t>1. Reprice acquisition to ≤ SAR 150M (vs SAR 200M) OR demonstrate 10%+ NOI uplift from Day-1 repositioning (signed broker/leasing plan).</t>
        </is>
      </c>
    </row>
    <row r="31">
      <c r="B31" s="52" t="inlineStr">
        <is>
          <t>2. Mandatory partial amortization on a 25-year profile with 10-year balloon (or refi commitment) — no straight bullet at exit; binding bank term sheet required.</t>
        </is>
      </c>
    </row>
    <row r="32">
      <c r="B32" s="52" t="inlineStr">
        <is>
          <t>3. LTV ceiling 55% (no exceptions); cost of debt ≥ SAIBOR + 175 bps with rate-cap hedge for 50% of debt for first 5 years.</t>
        </is>
      </c>
    </row>
    <row r="33">
      <c r="B33" s="52" t="inlineStr">
        <is>
          <t>4. Fund 6-month DSRA, 3-month OpEx reserve, 12-month CapEx reserve, and 1.5% contingency at closing.</t>
        </is>
      </c>
    </row>
    <row r="34">
      <c r="B34" s="52" t="inlineStr">
        <is>
          <t>5. DSCR covenant ≥ 1.30x with cash-sweep above 1.40x; LLCR ≥ 1.40x tested annually.</t>
        </is>
      </c>
    </row>
    <row r="35">
      <c r="B35" s="52" t="inlineStr">
        <is>
          <t>6. Cap-rate stress test: must remain NPV-positive at exit cap +150 bps (8.5%); equity IRR ≥ 10% at +250 bps.</t>
        </is>
      </c>
    </row>
    <row r="36">
      <c r="B36" s="52" t="inlineStr">
        <is>
          <t>7. Sponsor recourse / completion guarantee for any CapEx overrun and for first 24 months of debt service.</t>
        </is>
      </c>
    </row>
    <row r="37">
      <c r="B37" s="52" t="inlineStr">
        <is>
          <t>8. Tax/Zakat opinion from KSA Big-4: confirm 80%+ property shelter for Zakat base; otherwise raise zakat reserve.</t>
        </is>
      </c>
    </row>
    <row r="38">
      <c r="B38" s="52" t="inlineStr">
        <is>
          <t>9. Independent valuation at acquisition AND at proposed refinance year (Y5) — no related-party valuer.</t>
        </is>
      </c>
    </row>
    <row r="39">
      <c r="B39" s="52" t="inlineStr">
        <is>
          <t>10. Quarterly investor reporting with full DSCR, debt yield, liquidity runway disclosure.</t>
        </is>
      </c>
    </row>
    <row r="50">
      <c r="B50" s="100" t="inlineStr">
        <is>
          <t>RESTRUCTURED DEAL — RETURN METRICS (analytic proxy)</t>
        </is>
      </c>
    </row>
    <row r="51">
      <c r="B51" t="inlineStr">
        <is>
          <t>Y1 NOI (restructured)</t>
        </is>
      </c>
      <c r="D51" s="61">
        <f>OpEx_CapEx!$E$9*(1+Assumptions!$D$111)</f>
        <v/>
      </c>
    </row>
    <row r="52">
      <c r="B52" t="inlineStr">
        <is>
          <t>Avg NOI over hold (annuity proxy)</t>
        </is>
      </c>
      <c r="D52" s="61">
        <f>D51*((1+Assumptions!$D$20/2)^Assumptions!$D$7+1)/2</f>
        <v/>
      </c>
    </row>
    <row r="53">
      <c r="B53" t="inlineStr">
        <is>
          <t>Y10 NOI (forward) for exit</t>
        </is>
      </c>
      <c r="D53" s="61">
        <f>D51*(1+Assumptions!$D$20/2)^Assumptions!$D$7</f>
        <v/>
      </c>
    </row>
    <row r="54">
      <c r="B54" t="inlineStr">
        <is>
          <t>Exit value (Y10 NOI × (1+g) / restructured cap)</t>
        </is>
      </c>
      <c r="D54" s="61">
        <f>D53*(1+Assumptions!$D$20)/Assumptions!$D$115*(1-0.03)</f>
        <v/>
      </c>
    </row>
    <row r="55">
      <c r="B55" t="inlineStr">
        <is>
          <t>Restructured equity invested</t>
        </is>
      </c>
      <c r="D55" s="61">
        <f>D8-D12</f>
        <v/>
      </c>
    </row>
    <row r="56">
      <c r="B56" t="inlineStr">
        <is>
          <t>Annual equity FCF (NOI − interest − zakat − CapEx)</t>
        </is>
      </c>
      <c r="D56" s="61">
        <f>D52-D18-(Assumptions!$D$77*Assumptions!$D$57)-D51*Assumptions!$D$36</f>
        <v/>
      </c>
    </row>
    <row r="57">
      <c r="B57" t="inlineStr">
        <is>
          <t>Exit equity (exit value − refi debt remaining)</t>
        </is>
      </c>
      <c r="D57" s="61">
        <f>D54-D12+(D19*Assumptions!$D$7)</f>
        <v/>
      </c>
    </row>
    <row r="58">
      <c r="B58" t="inlineStr">
        <is>
          <t>Restructured MOIC</t>
        </is>
      </c>
      <c r="D58" s="101">
        <f>(Assumptions!$D$7*D56+D57)/D55</f>
        <v/>
      </c>
    </row>
    <row r="59">
      <c r="B59" t="inlineStr">
        <is>
          <t>Restructured Equity IRR (proxy)</t>
        </is>
      </c>
      <c r="D59" s="102">
        <f>IFERROR(D58^(1/Assumptions!$D$7)-1,0)</f>
        <v/>
      </c>
    </row>
    <row r="60">
      <c r="B60" t="inlineStr">
        <is>
          <t>vs Equity IRR target</t>
        </is>
      </c>
      <c r="D60" s="79">
        <f>Assumptions!$D$116</f>
        <v/>
      </c>
    </row>
    <row r="61">
      <c r="B61" t="inlineStr">
        <is>
          <t>PASS / FAIL vs target</t>
        </is>
      </c>
      <c r="D61" s="58">
        <f>IF(D59&gt;=D60,"PASS","BELOW TARGET")</f>
        <v/>
      </c>
    </row>
    <row r="62">
      <c r="B62" t="inlineStr">
        <is>
          <t>Restructured Project NPV @ WACC</t>
        </is>
      </c>
      <c r="D62" s="80">
        <f>-D8+(D52-(Assumptions!$D$77*Assumptions!$D$57)-D51*Assumptions!$D$36)*((1-(1+Assumptions!$D$68)^-Assumptions!$D$7)/Assumptions!$D$68)+D54/(1+Assumptions!$D$68)^Assumptions!$D$7</f>
        <v/>
      </c>
    </row>
    <row r="63">
      <c r="B63" t="inlineStr">
        <is>
          <t>NPV PASS / FAIL</t>
        </is>
      </c>
      <c r="D63">
        <f>IF(D62&gt;=0,"POSITIVE","NEGATIVE")</f>
        <v/>
      </c>
    </row>
    <row r="66">
      <c r="B66" s="100" t="inlineStr">
        <is>
          <t>PRICE-BREAK-EVEN SCAN (what acquisition price yields target IRR?)</t>
        </is>
      </c>
    </row>
    <row r="67">
      <c r="B67" t="inlineStr">
        <is>
          <t>Price (SAR)</t>
        </is>
      </c>
      <c r="C67" s="61" t="n">
        <v>130000000</v>
      </c>
      <c r="D67" s="61" t="n">
        <v>140000000</v>
      </c>
      <c r="E67" s="61" t="n">
        <v>150000000</v>
      </c>
      <c r="F67" s="61" t="n">
        <v>160000000</v>
      </c>
      <c r="G67" s="61" t="n">
        <v>170000000</v>
      </c>
      <c r="H67" s="61" t="n">
        <v>180000000</v>
      </c>
      <c r="I67" s="61" t="n">
        <v>200000000</v>
      </c>
    </row>
    <row r="68">
      <c r="B68" t="inlineStr">
        <is>
          <t>Equity IRR (analytic)</t>
        </is>
      </c>
      <c r="C68" s="79">
        <f>IFERROR(((Assumptions!$D$7*((OpEx_CapEx!$E$9*(1+Assumptions!$D$111))*((1+Assumptions!$D$20/2)^Assumptions!$D$7+1)/2-((130000000*(1+Assumptions!$D$15))*Assumptions!$D$112)*Assumptions!$D$113-((130000000*(1+Assumptions!$D$15))*Assumptions!$D$112)/25-(Assumptions!$D$77*Assumptions!$D$57)-(OpEx_CapEx!$E$9*(1+Assumptions!$D$111))*Assumptions!$D$36)+((OpEx_CapEx!$E$9*(1+Assumptions!$D$111))*(1+Assumptions!$D$20/2)^Assumptions!$D$7*(1+Assumptions!$D$20)/Assumptions!$D$115*(1-0.03)-(((130000000*(1+Assumptions!$D$15))*Assumptions!$D$112)-((130000000*(1+Assumptions!$D$15))*Assumptions!$D$112)/25*Assumptions!$D$7)))/((130000000*(1+Assumptions!$D$15))-((130000000*(1+Assumptions!$D$15))*Assumptions!$D$112)))^(1/Assumptions!$D$7)-1,0)</f>
        <v/>
      </c>
      <c r="D68" s="79">
        <f>IFERROR(((Assumptions!$D$7*((OpEx_CapEx!$E$9*(1+Assumptions!$D$111))*((1+Assumptions!$D$20/2)^Assumptions!$D$7+1)/2-((140000000*(1+Assumptions!$D$15))*Assumptions!$D$112)*Assumptions!$D$113-((140000000*(1+Assumptions!$D$15))*Assumptions!$D$112)/25-(Assumptions!$D$77*Assumptions!$D$57)-(OpEx_CapEx!$E$9*(1+Assumptions!$D$111))*Assumptions!$D$36)+((OpEx_CapEx!$E$9*(1+Assumptions!$D$111))*(1+Assumptions!$D$20/2)^Assumptions!$D$7*(1+Assumptions!$D$20)/Assumptions!$D$115*(1-0.03)-(((140000000*(1+Assumptions!$D$15))*Assumptions!$D$112)-((140000000*(1+Assumptions!$D$15))*Assumptions!$D$112)/25*Assumptions!$D$7)))/((140000000*(1+Assumptions!$D$15))-((140000000*(1+Assumptions!$D$15))*Assumptions!$D$112)))^(1/Assumptions!$D$7)-1,0)</f>
        <v/>
      </c>
      <c r="E68" s="79">
        <f>IFERROR(((Assumptions!$D$7*((OpEx_CapEx!$E$9*(1+Assumptions!$D$111))*((1+Assumptions!$D$20/2)^Assumptions!$D$7+1)/2-((150000000*(1+Assumptions!$D$15))*Assumptions!$D$112)*Assumptions!$D$113-((150000000*(1+Assumptions!$D$15))*Assumptions!$D$112)/25-(Assumptions!$D$77*Assumptions!$D$57)-(OpEx_CapEx!$E$9*(1+Assumptions!$D$111))*Assumptions!$D$36)+((OpEx_CapEx!$E$9*(1+Assumptions!$D$111))*(1+Assumptions!$D$20/2)^Assumptions!$D$7*(1+Assumptions!$D$20)/Assumptions!$D$115*(1-0.03)-(((150000000*(1+Assumptions!$D$15))*Assumptions!$D$112)-((150000000*(1+Assumptions!$D$15))*Assumptions!$D$112)/25*Assumptions!$D$7)))/((150000000*(1+Assumptions!$D$15))-((150000000*(1+Assumptions!$D$15))*Assumptions!$D$112)))^(1/Assumptions!$D$7)-1,0)</f>
        <v/>
      </c>
      <c r="F68" s="79">
        <f>IFERROR(((Assumptions!$D$7*((OpEx_CapEx!$E$9*(1+Assumptions!$D$111))*((1+Assumptions!$D$20/2)^Assumptions!$D$7+1)/2-((160000000*(1+Assumptions!$D$15))*Assumptions!$D$112)*Assumptions!$D$113-((160000000*(1+Assumptions!$D$15))*Assumptions!$D$112)/25-(Assumptions!$D$77*Assumptions!$D$57)-(OpEx_CapEx!$E$9*(1+Assumptions!$D$111))*Assumptions!$D$36)+((OpEx_CapEx!$E$9*(1+Assumptions!$D$111))*(1+Assumptions!$D$20/2)^Assumptions!$D$7*(1+Assumptions!$D$20)/Assumptions!$D$115*(1-0.03)-(((160000000*(1+Assumptions!$D$15))*Assumptions!$D$112)-((160000000*(1+Assumptions!$D$15))*Assumptions!$D$112)/25*Assumptions!$D$7)))/((160000000*(1+Assumptions!$D$15))-((160000000*(1+Assumptions!$D$15))*Assumptions!$D$112)))^(1/Assumptions!$D$7)-1,0)</f>
        <v/>
      </c>
      <c r="G68" s="79">
        <f>IFERROR(((Assumptions!$D$7*((OpEx_CapEx!$E$9*(1+Assumptions!$D$111))*((1+Assumptions!$D$20/2)^Assumptions!$D$7+1)/2-((170000000*(1+Assumptions!$D$15))*Assumptions!$D$112)*Assumptions!$D$113-((170000000*(1+Assumptions!$D$15))*Assumptions!$D$112)/25-(Assumptions!$D$77*Assumptions!$D$57)-(OpEx_CapEx!$E$9*(1+Assumptions!$D$111))*Assumptions!$D$36)+((OpEx_CapEx!$E$9*(1+Assumptions!$D$111))*(1+Assumptions!$D$20/2)^Assumptions!$D$7*(1+Assumptions!$D$20)/Assumptions!$D$115*(1-0.03)-(((170000000*(1+Assumptions!$D$15))*Assumptions!$D$112)-((170000000*(1+Assumptions!$D$15))*Assumptions!$D$112)/25*Assumptions!$D$7)))/((170000000*(1+Assumptions!$D$15))-((170000000*(1+Assumptions!$D$15))*Assumptions!$D$112)))^(1/Assumptions!$D$7)-1,0)</f>
        <v/>
      </c>
      <c r="H68" s="79">
        <f>IFERROR(((Assumptions!$D$7*((OpEx_CapEx!$E$9*(1+Assumptions!$D$111))*((1+Assumptions!$D$20/2)^Assumptions!$D$7+1)/2-((180000000*(1+Assumptions!$D$15))*Assumptions!$D$112)*Assumptions!$D$113-((180000000*(1+Assumptions!$D$15))*Assumptions!$D$112)/25-(Assumptions!$D$77*Assumptions!$D$57)-(OpEx_CapEx!$E$9*(1+Assumptions!$D$111))*Assumptions!$D$36)+((OpEx_CapEx!$E$9*(1+Assumptions!$D$111))*(1+Assumptions!$D$20/2)^Assumptions!$D$7*(1+Assumptions!$D$20)/Assumptions!$D$115*(1-0.03)-(((180000000*(1+Assumptions!$D$15))*Assumptions!$D$112)-((180000000*(1+Assumptions!$D$15))*Assumptions!$D$112)/25*Assumptions!$D$7)))/((180000000*(1+Assumptions!$D$15))-((180000000*(1+Assumptions!$D$15))*Assumptions!$D$112)))^(1/Assumptions!$D$7)-1,0)</f>
        <v/>
      </c>
      <c r="I68" s="79">
        <f>IFERROR(((Assumptions!$D$7*((OpEx_CapEx!$E$9*(1+Assumptions!$D$111))*((1+Assumptions!$D$20/2)^Assumptions!$D$7+1)/2-((200000000*(1+Assumptions!$D$15))*Assumptions!$D$112)*Assumptions!$D$113-((200000000*(1+Assumptions!$D$15))*Assumptions!$D$112)/25-(Assumptions!$D$77*Assumptions!$D$57)-(OpEx_CapEx!$E$9*(1+Assumptions!$D$111))*Assumptions!$D$36)+((OpEx_CapEx!$E$9*(1+Assumptions!$D$111))*(1+Assumptions!$D$20/2)^Assumptions!$D$7*(1+Assumptions!$D$20)/Assumptions!$D$115*(1-0.03)-(((200000000*(1+Assumptions!$D$15))*Assumptions!$D$112)-((200000000*(1+Assumptions!$D$15))*Assumptions!$D$112)/25*Assumptions!$D$7)))/((200000000*(1+Assumptions!$D$15))-((200000000*(1+Assumptions!$D$15))*Assumptions!$D$112)))^(1/Assumptions!$D$7)-1,0)</f>
        <v/>
      </c>
    </row>
    <row r="69">
      <c r="B69" t="inlineStr">
        <is>
          <t>Y1 DSCR (incl. amort)</t>
        </is>
      </c>
      <c r="C69" s="72">
        <f>(OpEx_CapEx!$E$9*(1+Assumptions!$D$111))/(((130000000*(1+Assumptions!$D$15))*Assumptions!$D$112)*Assumptions!$D$113+((130000000*(1+Assumptions!$D$15))*Assumptions!$D$112)/25)</f>
        <v/>
      </c>
      <c r="D69" s="72">
        <f>(OpEx_CapEx!$E$9*(1+Assumptions!$D$111))/(((140000000*(1+Assumptions!$D$15))*Assumptions!$D$112)*Assumptions!$D$113+((140000000*(1+Assumptions!$D$15))*Assumptions!$D$112)/25)</f>
        <v/>
      </c>
      <c r="E69" s="72">
        <f>(OpEx_CapEx!$E$9*(1+Assumptions!$D$111))/(((150000000*(1+Assumptions!$D$15))*Assumptions!$D$112)*Assumptions!$D$113+((150000000*(1+Assumptions!$D$15))*Assumptions!$D$112)/25)</f>
        <v/>
      </c>
      <c r="F69" s="72">
        <f>(OpEx_CapEx!$E$9*(1+Assumptions!$D$111))/(((160000000*(1+Assumptions!$D$15))*Assumptions!$D$112)*Assumptions!$D$113+((160000000*(1+Assumptions!$D$15))*Assumptions!$D$112)/25)</f>
        <v/>
      </c>
      <c r="G69" s="72">
        <f>(OpEx_CapEx!$E$9*(1+Assumptions!$D$111))/(((170000000*(1+Assumptions!$D$15))*Assumptions!$D$112)*Assumptions!$D$113+((170000000*(1+Assumptions!$D$15))*Assumptions!$D$112)/25)</f>
        <v/>
      </c>
      <c r="H69" s="72">
        <f>(OpEx_CapEx!$E$9*(1+Assumptions!$D$111))/(((180000000*(1+Assumptions!$D$15))*Assumptions!$D$112)*Assumptions!$D$113+((180000000*(1+Assumptions!$D$15))*Assumptions!$D$112)/25)</f>
        <v/>
      </c>
      <c r="I69" s="72">
        <f>(OpEx_CapEx!$E$9*(1+Assumptions!$D$111))/(((200000000*(1+Assumptions!$D$15))*Assumptions!$D$112)*Assumptions!$D$113+((200000000*(1+Assumptions!$D$15))*Assumptions!$D$112)/25)</f>
        <v/>
      </c>
    </row>
    <row r="70">
      <c r="B70" t="inlineStr">
        <is>
          <t>Verdict</t>
        </is>
      </c>
      <c r="C70">
        <f>IF(AND(C68&gt;=Assumptions!$D$116,C69&gt;=Assumptions!$D$117),"PASS",IF(C68&gt;=0.10,"MARGINAL","FAIL"))</f>
        <v/>
      </c>
      <c r="D70">
        <f>IF(AND(D68&gt;=Assumptions!$D$116,D69&gt;=Assumptions!$D$117),"PASS",IF(D68&gt;=0.10,"MARGINAL","FAIL"))</f>
        <v/>
      </c>
      <c r="E70">
        <f>IF(AND(E68&gt;=Assumptions!$D$116,E69&gt;=Assumptions!$D$117),"PASS",IF(E68&gt;=0.10,"MARGINAL","FAIL"))</f>
        <v/>
      </c>
      <c r="F70">
        <f>IF(AND(F68&gt;=Assumptions!$D$116,F69&gt;=Assumptions!$D$117),"PASS",IF(F68&gt;=0.10,"MARGINAL","FAIL"))</f>
        <v/>
      </c>
      <c r="G70">
        <f>IF(AND(G68&gt;=Assumptions!$D$116,G69&gt;=Assumptions!$D$117),"PASS",IF(G68&gt;=0.10,"MARGINAL","FAIL"))</f>
        <v/>
      </c>
      <c r="H70">
        <f>IF(AND(H68&gt;=Assumptions!$D$116,H69&gt;=Assumptions!$D$117),"PASS",IF(H68&gt;=0.10,"MARGINAL","FAIL"))</f>
        <v/>
      </c>
      <c r="I70">
        <f>IF(AND(I68&gt;=Assumptions!$D$116,I69&gt;=Assumptions!$D$117),"PASS",IF(I68&gt;=0.10,"MARGINAL","FAIL"))</f>
        <v/>
      </c>
    </row>
  </sheetData>
  <conditionalFormatting sqref="D61">
    <cfRule type="cellIs" priority="1" operator="equal" dxfId="5">
      <formula>"PASS"</formula>
    </cfRule>
    <cfRule type="cellIs" priority="2" operator="equal" dxfId="4">
      <formula>"BELOW TARGET"</formula>
    </cfRule>
  </conditionalFormatting>
  <conditionalFormatting sqref="D63">
    <cfRule type="cellIs" priority="3" operator="equal" dxfId="5">
      <formula>"POSITIVE"</formula>
    </cfRule>
    <cfRule type="cellIs" priority="4" operator="equal" dxfId="4">
      <formula>"NEGATIVE"</formula>
    </cfRule>
  </conditionalFormatting>
  <conditionalFormatting sqref="D27">
    <cfRule type="cellIs" priority="5" operator="equal" dxfId="5">
      <formula>"PASS"</formula>
    </cfRule>
    <cfRule type="cellIs" priority="6" operator="equal" dxfId="4">
      <formula>"FAIL"</formula>
    </cfRule>
  </conditionalFormatting>
  <conditionalFormatting sqref="C70:I70">
    <cfRule type="cellIs" priority="7" operator="equal" dxfId="5">
      <formula>"PASS"</formula>
    </cfRule>
    <cfRule type="cellIs" priority="8" operator="equal" dxfId="4">
      <formula>"FAIL"</formula>
    </cfRule>
    <cfRule type="cellIs" priority="9" operator="equal" dxfId="6">
      <formula>"MARGINAL"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42" customWidth="1" min="2" max="2"/>
    <col width="5" customWidth="1" min="3" max="3"/>
    <col width="24" customWidth="1" min="4" max="5"/>
    <col width="50" customWidth="1" min="6" max="6"/>
  </cols>
  <sheetData>
    <row r="2" ht="27.75" customHeight="1">
      <c r="B2" s="3" t="inlineStr">
        <is>
          <t>MODEL INTEGRITY CHECKS</t>
        </is>
      </c>
    </row>
    <row r="3" ht="15" customHeight="1">
      <c r="B3" s="5" t="inlineStr">
        <is>
          <t>All checks must return OK before model is used for IC/financing.</t>
        </is>
      </c>
    </row>
    <row r="5" ht="15" customHeight="1">
      <c r="B5" s="40" t="inlineStr">
        <is>
          <t>Check</t>
        </is>
      </c>
      <c r="C5" s="40" t="inlineStr">
        <is>
          <t>Expected</t>
        </is>
      </c>
      <c r="D5" s="40" t="inlineStr">
        <is>
          <t>Actual</t>
        </is>
      </c>
      <c r="E5" s="40" t="inlineStr">
        <is>
          <t>Status</t>
        </is>
      </c>
    </row>
    <row r="6" ht="15" customHeight="1">
      <c r="B6" s="10" t="inlineStr">
        <is>
          <t>Debt + Equity = Total cost</t>
        </is>
      </c>
      <c r="C6" s="25">
        <f>Assumptions!$D$16</f>
        <v/>
      </c>
      <c r="D6" s="25">
        <f>Assumptions!$D$47+Assumptions!$D$48</f>
        <v/>
      </c>
      <c r="E6" s="45">
        <f>IF(ABS(D6-C6)&lt;MAX(1,ABS(C6)*0.001),"OK","REVIEW")</f>
        <v/>
      </c>
    </row>
    <row r="7" ht="15" customHeight="1">
      <c r="B7" s="10" t="inlineStr">
        <is>
          <t>Y0 acquisition outflow = Total cost (negative)</t>
        </is>
      </c>
      <c r="C7" s="25">
        <f>-Assumptions!$D$16</f>
        <v/>
      </c>
      <c r="D7" s="25">
        <f>Cash_Flow!D12</f>
        <v/>
      </c>
      <c r="E7" s="45">
        <f>IF(ABS(D7-C7)&lt;MAX(1,ABS(C7)*0.001),"OK","REVIEW")</f>
        <v/>
      </c>
    </row>
    <row r="8" ht="15" customHeight="1">
      <c r="B8" s="10" t="inlineStr">
        <is>
          <t>Y0 debt drawdown = Debt amount</t>
        </is>
      </c>
      <c r="C8" s="25">
        <f>Assumptions!$D$47</f>
        <v/>
      </c>
      <c r="D8" s="25">
        <f>Debt!D6</f>
        <v/>
      </c>
      <c r="E8" s="45">
        <f>IF(ABS(D8-C8)&lt;MAX(1,ABS(C8)*0.001),"OK","REVIEW")</f>
        <v/>
      </c>
    </row>
    <row r="9" ht="15" customHeight="1">
      <c r="B9" s="10" t="inlineStr">
        <is>
          <t>Debt closing balance at exit = 0</t>
        </is>
      </c>
      <c r="C9" s="25">
        <f>0</f>
        <v/>
      </c>
      <c r="D9" s="25">
        <f>Debt!N9</f>
        <v/>
      </c>
      <c r="E9" s="45">
        <f>IF(ABS(D9-C9)&lt;MAX(1,ABS(C9)*0.001),"OK","REVIEW")</f>
        <v/>
      </c>
    </row>
    <row r="10" ht="15" customHeight="1">
      <c r="B10" s="10" t="inlineStr">
        <is>
          <t>Sum of principal+bullet across life = Debt amount</t>
        </is>
      </c>
      <c r="C10" s="25">
        <f>Assumptions!$D$47</f>
        <v/>
      </c>
      <c r="D10" s="25">
        <f>ABS(SUM(Debt!D7:N7))+ABS(SUM(Debt!D8:N8))</f>
        <v/>
      </c>
      <c r="E10" s="45">
        <f>IF(ABS(D10-C10)&lt;MAX(1,ABS(C10)*0.001),"OK","REVIEW")</f>
        <v/>
      </c>
    </row>
    <row r="11" ht="15" customHeight="1">
      <c r="B11" s="10" t="inlineStr">
        <is>
          <t>Project FCF positive in Y_exit (driven by exit value)</t>
        </is>
      </c>
      <c r="C11" s="46" t="inlineStr">
        <is>
          <t>Positive</t>
        </is>
      </c>
      <c r="D11" s="25">
        <f>Cash_Flow!N15</f>
        <v/>
      </c>
      <c r="E11" s="45">
        <f>IF(D11&gt;0,"OK","ERROR")</f>
        <v/>
      </c>
    </row>
    <row r="12" ht="15" customHeight="1">
      <c r="B12" s="10" t="inlineStr">
        <is>
          <t>Equity outflow only in Y0</t>
        </is>
      </c>
      <c r="C12" s="46" t="inlineStr">
        <is>
          <t>Only Y0 negative</t>
        </is>
      </c>
      <c r="D12" s="25">
        <f>COUNTIF(Cash_Flow!E25:N25,"&lt;0")</f>
        <v/>
      </c>
      <c r="E12" s="45">
        <f>IF(D12=0,"OK","ERROR")</f>
        <v/>
      </c>
    </row>
    <row r="13" ht="15" customHeight="1">
      <c r="B13" s="10" t="inlineStr">
        <is>
          <t>WACC &gt; Cost of debt after-tax</t>
        </is>
      </c>
      <c r="C13" s="46" t="inlineStr">
        <is>
          <t>WACC &gt; Kd</t>
        </is>
      </c>
      <c r="D13" s="25">
        <f>IF(Assumptions!$D$68&gt;Assumptions!$D$67,"OK","ERROR")</f>
        <v/>
      </c>
      <c r="E13" s="45">
        <f>IF(D13="OK","OK","ERROR")</f>
        <v/>
      </c>
    </row>
    <row r="14" ht="15" customHeight="1">
      <c r="B14" s="93" t="inlineStr">
        <is>
          <t>Min Operating DSCR (excl. bullet/refi yr) ≥ threshold</t>
        </is>
      </c>
      <c r="C14" s="25">
        <f>Assumptions!$D$73</f>
        <v/>
      </c>
      <c r="D14" s="94">
        <f>IFERROR(MIN(Debt!E19:M19),0)</f>
        <v/>
      </c>
      <c r="E14" s="45">
        <f>IF(D14&gt;=C14,"OK","ERROR")</f>
        <v/>
      </c>
    </row>
    <row r="15" ht="15" customHeight="1">
      <c r="B15" s="10" t="inlineStr">
        <is>
          <t>Initial LTV ≤ Max LTV</t>
        </is>
      </c>
      <c r="C15" s="25">
        <f>Assumptions!$D$74</f>
        <v/>
      </c>
      <c r="D15" s="25">
        <f>Assumptions!$D$47/Assumptions!$D$16</f>
        <v/>
      </c>
      <c r="E15" s="45">
        <f>IF(D15&lt;=C15,"OK","ERROR")</f>
        <v/>
      </c>
    </row>
    <row r="16" ht="15" customHeight="1">
      <c r="B16" s="10" t="inlineStr">
        <is>
          <t>Equity IRR ≥ Hurdle</t>
        </is>
      </c>
      <c r="C16" s="25">
        <f>Assumptions!$D$71</f>
        <v/>
      </c>
      <c r="D16" s="25">
        <f>Returns!D6</f>
        <v/>
      </c>
      <c r="E16" s="45">
        <f>IF(D16&gt;=C16,"OK","ERROR")</f>
        <v/>
      </c>
    </row>
    <row r="17" ht="15" customHeight="1">
      <c r="B17" s="10" t="inlineStr">
        <is>
          <t>Project IRR ≥ WACC</t>
        </is>
      </c>
      <c r="C17" s="25">
        <f>Assumptions!$D$68</f>
        <v/>
      </c>
      <c r="D17" s="25">
        <f>Returns!D5</f>
        <v/>
      </c>
      <c r="E17" s="45">
        <f>IF(D17&gt;=C17,"OK","ERROR")</f>
        <v/>
      </c>
    </row>
    <row r="18" ht="15" customHeight="1">
      <c r="B18" s="10" t="inlineStr">
        <is>
          <t>NPV (Project) ≥ 0</t>
        </is>
      </c>
      <c r="C18" s="46" t="inlineStr">
        <is>
          <t>≥ 0</t>
        </is>
      </c>
      <c r="D18" s="25">
        <f>DCF!D17</f>
        <v/>
      </c>
      <c r="E18" s="45">
        <f>IF(D18&gt;0,"OK","ERROR")</f>
        <v/>
      </c>
    </row>
    <row r="19" ht="15" customHeight="1">
      <c r="B19" s="10" t="inlineStr">
        <is>
          <t>MOIC ≥ MOIC target</t>
        </is>
      </c>
      <c r="C19" s="25">
        <f>Assumptions!$D$72</f>
        <v/>
      </c>
      <c r="D19" s="25">
        <f>Returns!D17</f>
        <v/>
      </c>
      <c r="E19" s="45">
        <f>IF(D19&gt;=C19,"OK","ERROR")</f>
        <v/>
      </c>
    </row>
    <row r="20" ht="15" customHeight="1">
      <c r="B20" s="10" t="inlineStr">
        <is>
          <t>Exit value computed only at exit year</t>
        </is>
      </c>
      <c r="C20" s="46" t="inlineStr">
        <is>
          <t>1 non-zero cell</t>
        </is>
      </c>
      <c r="D20" s="25">
        <f>COUNTIF(DCF!D9:N9,"&gt;0")</f>
        <v/>
      </c>
      <c r="E20" s="45">
        <f>IF(D20=1,"OK","ERROR")</f>
        <v/>
      </c>
    </row>
    <row r="21" ht="15" customHeight="1">
      <c r="B21" s="10" t="inlineStr">
        <is>
          <t>Tax line is non-positive (cash outflow)</t>
        </is>
      </c>
      <c r="C21" s="46" t="inlineStr">
        <is>
          <t>≤ 0 every year</t>
        </is>
      </c>
      <c r="D21" s="25">
        <f>COUNTIF(Cash_Flow!E24:N24,"&gt;0")</f>
        <v/>
      </c>
      <c r="E21" s="45">
        <f>IF(D21=0,"OK","ERROR")</f>
        <v/>
      </c>
    </row>
    <row r="22">
      <c r="B22" s="58" t="inlineStr">
        <is>
          <t>Refinance plan active OR exit-year DSCR ≥ threshold</t>
        </is>
      </c>
      <c r="C22" s="52" t="inlineStr">
        <is>
          <t>OK or REVIEW</t>
        </is>
      </c>
      <c r="D22">
        <f>IF(OR(Assumptions!$D$79=1,Debt!N16&gt;=Assumptions!$D$73),"OK","REFI REQUIRED")</f>
        <v/>
      </c>
      <c r="E22">
        <f>IF(D22="OK","OK","REVIEW")</f>
        <v/>
      </c>
    </row>
    <row r="23">
      <c r="B23" s="58" t="inlineStr">
        <is>
          <t>Zakat ≤ 20% of EBITDA (sanity check)</t>
        </is>
      </c>
      <c r="C23" s="52" t="inlineStr">
        <is>
          <t>≤ 20%</t>
        </is>
      </c>
      <c r="D23" s="99">
        <f>IFERROR(ABS(Tax!E9)/MAX(OpEx_CapEx!E18,1),1)</f>
        <v/>
      </c>
      <c r="E23">
        <f>IF(D23&lt;=0.20,"OK","REVIEW")</f>
        <v/>
      </c>
    </row>
    <row r="24">
      <c r="B24" s="58" t="inlineStr">
        <is>
          <t>NPV (Project) ≥ 0 under DOWNSIDE</t>
        </is>
      </c>
      <c r="C24" s="52" t="inlineStr">
        <is>
          <t>≥ 0</t>
        </is>
      </c>
      <c r="D24" s="61">
        <f>Scenario_Engine!D17</f>
        <v/>
      </c>
      <c r="E24">
        <f>IF(D24&gt;=0,"OK","ERROR")</f>
        <v/>
      </c>
    </row>
    <row r="25">
      <c r="B25" s="58" t="inlineStr">
        <is>
          <t>DSRA funded at closing</t>
        </is>
      </c>
      <c r="C25" s="52" t="inlineStr">
        <is>
          <t>≥ required</t>
        </is>
      </c>
      <c r="D25" s="61">
        <f>Reserves!D8</f>
        <v/>
      </c>
      <c r="E25">
        <f>IF(D25&gt;=Reserves!D7,"OK","ERROR")</f>
        <v/>
      </c>
    </row>
  </sheetData>
  <mergeCells count="1">
    <mergeCell ref="B2:F2"/>
  </mergeCells>
  <conditionalFormatting sqref="E6:E21">
    <cfRule type="expression" priority="2" dxfId="2">
      <formula>E6="OK"</formula>
    </cfRule>
    <cfRule type="expression" priority="3" dxfId="1">
      <formula>E6="ERROR"</formula>
    </cfRule>
    <cfRule type="expression" priority="4" dxfId="0">
      <formula>E6="REVIEW"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F42"/>
  <sheetViews>
    <sheetView showGridLines="0" tabSelected="1" topLeftCell="A2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42" customWidth="1" min="2" max="2"/>
    <col width="52" customWidth="1" min="3" max="3"/>
    <col width="18" customWidth="1" min="4" max="6"/>
  </cols>
  <sheetData>
    <row r="2" ht="27.75" customHeight="1">
      <c r="B2" s="3" t="inlineStr">
        <is>
          <t>BIN AMER HOLDING — INVESTMENT UNDERWRITING MODEL v4</t>
        </is>
      </c>
    </row>
    <row r="4" ht="15" customHeight="1">
      <c r="B4" s="4" t="inlineStr">
        <is>
          <t>Document</t>
        </is>
      </c>
      <c r="C4" s="5" t="inlineStr">
        <is>
          <t>Institutional-grade real estate / income-asset underwriting model</t>
        </is>
      </c>
    </row>
    <row r="5" ht="15" customHeight="1">
      <c r="B5" s="4" t="inlineStr">
        <is>
          <t>Prepared for</t>
        </is>
      </c>
      <c r="C5" s="5" t="inlineStr">
        <is>
          <t>Investment Committee / Bank / JV Partner Review</t>
        </is>
      </c>
    </row>
    <row r="6" ht="15" customHeight="1">
      <c r="B6" s="4" t="inlineStr">
        <is>
          <t>Currency</t>
        </is>
      </c>
      <c r="C6" s="5" t="inlineStr">
        <is>
          <t>SAR (Saudi Riyal) unless stated</t>
        </is>
      </c>
    </row>
    <row r="7" ht="15" customHeight="1">
      <c r="B7" s="4" t="inlineStr">
        <is>
          <t>Periodicity</t>
        </is>
      </c>
      <c r="C7" s="5" t="inlineStr">
        <is>
          <t>Annual, Y0 (closing) + Y1–Y10 (operating)</t>
        </is>
      </c>
    </row>
    <row r="8" ht="15" customHeight="1">
      <c r="B8" s="4" t="inlineStr">
        <is>
          <t>Version</t>
        </is>
      </c>
      <c r="C8" s="5" t="inlineStr">
        <is>
          <t>v4.0 — Institutional Rebuild</t>
        </is>
      </c>
    </row>
    <row r="10" ht="15" customHeight="1">
      <c r="B10" s="2" t="inlineStr">
        <is>
          <t>COLOR-CODING CONVENTIONS</t>
        </is>
      </c>
    </row>
    <row r="11" ht="15" customHeight="1">
      <c r="B11" s="6" t="inlineStr">
        <is>
          <t>BLUE</t>
        </is>
      </c>
      <c r="C11" s="5" t="inlineStr">
        <is>
          <t>Hardcoded user input</t>
        </is>
      </c>
    </row>
    <row r="12" ht="15" customHeight="1">
      <c r="B12" s="5" t="inlineStr">
        <is>
          <t>BLACK</t>
        </is>
      </c>
      <c r="C12" s="5" t="inlineStr">
        <is>
          <t>Formula / calculation</t>
        </is>
      </c>
    </row>
    <row r="13" ht="15" customHeight="1">
      <c r="B13" s="7" t="inlineStr">
        <is>
          <t>GREEN</t>
        </is>
      </c>
      <c r="C13" s="5" t="inlineStr">
        <is>
          <t>Cross-sheet link</t>
        </is>
      </c>
    </row>
    <row r="14" ht="15" customHeight="1">
      <c r="B14" s="5" t="inlineStr">
        <is>
          <t>YELLOW fill</t>
        </is>
      </c>
      <c r="C14" s="5" t="inlineStr">
        <is>
          <t>Key assumption requiring management sign-off</t>
        </is>
      </c>
    </row>
    <row r="15" ht="15" customHeight="1">
      <c r="B15" s="8" t="inlineStr">
        <is>
          <t>YELLOW fill</t>
        </is>
      </c>
      <c r="C15" s="5" t="inlineStr">
        <is>
          <t>Warning / negative result / audit error</t>
        </is>
      </c>
    </row>
    <row r="17" ht="15" customHeight="1">
      <c r="B17" s="2" t="inlineStr">
        <is>
          <t>SHEET MAP</t>
        </is>
      </c>
    </row>
    <row r="18" ht="15" customHeight="1">
      <c r="B18" s="4" t="inlineStr">
        <is>
          <t>Assumptions</t>
        </is>
      </c>
      <c r="C18" s="5" t="inlineStr">
        <is>
          <t>Single source of truth for all hardcoded inputs</t>
        </is>
      </c>
    </row>
    <row r="19" ht="15" customHeight="1">
      <c r="B19" s="4" t="inlineStr">
        <is>
          <t>Timeline</t>
        </is>
      </c>
      <c r="C19" s="5" t="inlineStr">
        <is>
          <t>Period flags, calendar years, operating-year switches</t>
        </is>
      </c>
    </row>
    <row r="20" ht="15" customHeight="1">
      <c r="B20" s="4" t="inlineStr">
        <is>
          <t>Revenue</t>
        </is>
      </c>
      <c r="C20" s="5" t="inlineStr">
        <is>
          <t>Gross revenue, vacancy, EGI build-up</t>
        </is>
      </c>
    </row>
    <row r="21" ht="15" customHeight="1">
      <c r="B21" s="4" t="inlineStr">
        <is>
          <t>OpEx_CapEx</t>
        </is>
      </c>
      <c r="C21" s="5" t="inlineStr">
        <is>
          <t>Operating expense build, maintenance + refurbishment CapEx</t>
        </is>
      </c>
    </row>
    <row r="22" ht="15" customHeight="1">
      <c r="B22" s="4" t="inlineStr">
        <is>
          <t>Debt</t>
        </is>
      </c>
      <c r="C22" s="5" t="inlineStr">
        <is>
          <t>Amortization OR bullet schedule, ICR, DSCR per year</t>
        </is>
      </c>
    </row>
    <row r="23" ht="15" customHeight="1">
      <c r="B23" s="4" t="inlineStr">
        <is>
          <t>Tax</t>
        </is>
      </c>
      <c r="C23" s="5" t="inlineStr">
        <is>
          <t>Zakat, corporate tax, withholding, disposal tax</t>
        </is>
      </c>
    </row>
    <row r="24" ht="15" customHeight="1">
      <c r="B24" s="4" t="inlineStr">
        <is>
          <t>Cash_Flow</t>
        </is>
      </c>
      <c r="C24" s="5" t="inlineStr">
        <is>
          <t>Layered: NOI → EBITDA → EBT → Project FCF → Equity FCF</t>
        </is>
      </c>
    </row>
    <row r="25" ht="15" customHeight="1">
      <c r="B25" s="4" t="inlineStr">
        <is>
          <t>DCF</t>
        </is>
      </c>
      <c r="C25" s="5" t="inlineStr">
        <is>
          <t>Unlevered DCF using exit-cap terminal value (no double-count)</t>
        </is>
      </c>
    </row>
    <row r="26" ht="15" customHeight="1">
      <c r="B26" s="4" t="inlineStr">
        <is>
          <t>Returns</t>
        </is>
      </c>
      <c r="C26" s="5" t="inlineStr">
        <is>
          <t>IRR, NPV, MOIC, DSCR, LTV, debt yield, payback, CoC</t>
        </is>
      </c>
    </row>
    <row r="27" ht="15" customHeight="1">
      <c r="B27" s="4" t="inlineStr">
        <is>
          <t>Scenarios</t>
        </is>
      </c>
      <c r="C27" s="5" t="inlineStr">
        <is>
          <t>Base / Downside / Severe / Upside cases</t>
        </is>
      </c>
    </row>
    <row r="28" ht="15" customHeight="1">
      <c r="B28" s="4" t="inlineStr">
        <is>
          <t>Sensitivity</t>
        </is>
      </c>
      <c r="C28" s="5" t="inlineStr">
        <is>
          <t>Two-variable sensitivities on key drivers</t>
        </is>
      </c>
    </row>
    <row r="29" ht="15" customHeight="1">
      <c r="B29" s="4" t="inlineStr">
        <is>
          <t>Audit</t>
        </is>
      </c>
      <c r="C29" s="5" t="inlineStr">
        <is>
          <t>Integrity, sign convention, balance, reconciliation checks</t>
        </is>
      </c>
    </row>
    <row r="30" ht="15" customHeight="1">
      <c r="B30" s="4" t="inlineStr">
        <is>
          <t>Dashboard</t>
        </is>
      </c>
      <c r="C30" s="5" t="inlineStr">
        <is>
          <t>IC-ready executive summary</t>
        </is>
      </c>
    </row>
    <row r="32" ht="15" customHeight="1">
      <c r="B32" s="2" t="inlineStr">
        <is>
          <t>KEY MODEL CHANGES vs v3 (read before use)</t>
        </is>
      </c>
    </row>
    <row r="33" ht="15" customHeight="1">
      <c r="B33" s="4" t="inlineStr">
        <is>
          <t>1.</t>
        </is>
      </c>
      <c r="C33" s="5" t="inlineStr">
        <is>
          <t>Removed Gordon-Growth terminal value — was double-counted with Exit Cap Value.</t>
        </is>
      </c>
    </row>
    <row r="34" ht="15" customHeight="1">
      <c r="B34" s="4" t="inlineStr">
        <is>
          <t>2.</t>
        </is>
      </c>
      <c r="C34" s="5" t="inlineStr">
        <is>
          <t>Exit Value now uses FORWARD NOI net of disposal costs (broker + legal).</t>
        </is>
      </c>
    </row>
    <row r="35" ht="15" customHeight="1">
      <c r="B35" s="4" t="inlineStr">
        <is>
          <t>3.</t>
        </is>
      </c>
      <c r="C35" s="5" t="inlineStr">
        <is>
          <t>True NOI line now excludes fund/admin/custodian fees (moved below to corporate).</t>
        </is>
      </c>
    </row>
    <row r="36" ht="15" customHeight="1">
      <c r="B36" s="4" t="inlineStr">
        <is>
          <t>4.</t>
        </is>
      </c>
      <c r="C36" s="5" t="inlineStr">
        <is>
          <t>Full annual debt schedule with amortization OR bullet toggle; DSCR computed per year.</t>
        </is>
      </c>
    </row>
    <row r="37" ht="15" customHeight="1">
      <c r="B37" s="4" t="inlineStr">
        <is>
          <t>5.</t>
        </is>
      </c>
      <c r="C37" s="5" t="inlineStr">
        <is>
          <t>Zakat, corporate tax, and withholding tax now flow through cash flow and IRR.</t>
        </is>
      </c>
    </row>
    <row r="38" ht="15" customHeight="1">
      <c r="B38" s="4" t="inlineStr">
        <is>
          <t>6.</t>
        </is>
      </c>
      <c r="C38" s="5" t="inlineStr">
        <is>
          <t>Maintenance CapEx and periodic refurbishment CapEx modelled separately.</t>
        </is>
      </c>
    </row>
    <row r="39" ht="15" customHeight="1">
      <c r="B39" s="4" t="inlineStr">
        <is>
          <t>7.</t>
        </is>
      </c>
      <c r="C39" s="5" t="inlineStr">
        <is>
          <t>Y0/Y1 timing corrected: Y0 = closing year (outflow), Y1 = first operating year.</t>
        </is>
      </c>
    </row>
    <row r="40" ht="15" customHeight="1">
      <c r="B40" s="4" t="inlineStr">
        <is>
          <t>8.</t>
        </is>
      </c>
      <c r="C40" s="5" t="inlineStr">
        <is>
          <t>Project IRR/NPV use Project FCF; Equity IRR/NPV use Equity FCF after debt + tax.</t>
        </is>
      </c>
    </row>
    <row r="41" ht="15" customHeight="1">
      <c r="B41" s="4" t="inlineStr">
        <is>
          <t>9.</t>
        </is>
      </c>
      <c r="C41" s="5" t="inlineStr">
        <is>
          <t>Audit sheet flags any structural error with OK / ERROR status.</t>
        </is>
      </c>
    </row>
    <row r="42" ht="15" customHeight="1">
      <c r="B42" s="4" t="inlineStr">
        <is>
          <t>10.</t>
        </is>
      </c>
      <c r="C42" s="5" t="inlineStr">
        <is>
          <t>Sensitivity tables for cap rate, vacancy, revenue growth, interest rate, OpEx.</t>
        </is>
      </c>
    </row>
  </sheetData>
  <mergeCells count="4">
    <mergeCell ref="B2:F2"/>
    <mergeCell ref="B10:F10"/>
    <mergeCell ref="B32:F32"/>
    <mergeCell ref="B17:F1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2026-05-20T00:24:09Z</dcterms:created>
  <dcterms:modified xsi:type="dcterms:W3CDTF">2026-05-20T01:16:57Z</dcterms:modified>
  <cp:lastModifiedBy>Mohammed Alnahdi</cp:lastModifiedBy>
</cp:coreProperties>
</file>